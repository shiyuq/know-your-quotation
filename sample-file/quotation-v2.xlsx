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80" windowHeight="15480"/>
  </bookViews>
  <sheets>
    <sheet name="Sheet1" sheetId="1" r:id="rId1"/>
  </sheets>
  <definedNames>
    <definedName name="_xlnm.Print_Area" localSheetId="0">Sheet1!$A$1:$J$44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<sst xmlns="http://schemas.openxmlformats.org/spreadsheetml/2006/main" count="67" uniqueCount="56">
  <si>
    <t xml:space="preserve">                                                                                 
Nantong OK sporting Co.,ltd</t>
  </si>
  <si>
    <t>INVOICE NO:</t>
  </si>
  <si>
    <t>OK20251116Y</t>
  </si>
  <si>
    <t>REVISION:</t>
  </si>
  <si>
    <t>INVOICE DATE:</t>
  </si>
  <si>
    <t>TO:</t>
  </si>
  <si>
    <t>Sold To / Importer:FOCUS COMERCIAL IMPORTADORA E EXPORTADORA LTDA
RUA LAURO MULLER,NR.567,ROOM 02,CENTER CEP88301-400,ITAJAISC-BRAZI CNP]11.234.477/0001-58</t>
  </si>
  <si>
    <t>Tel:0086-0513-81067596     FAX:0086-0513-81067595</t>
  </si>
  <si>
    <t>ATTN:</t>
  </si>
  <si>
    <t>Ship To /Customer:ROPE STORE LTDA
ADD:RUA JOSE PEREIRA LIBERATO,1710,GALPAO 5,SAO JOAO-CITY:ITAJAI-SC CEP:88.304-401CNPJ:194370650001-27</t>
  </si>
  <si>
    <t>Add:1114, A3 Office Building, Wanda Plaza, 
No. 8 Shennan Road, Gangzha District, Nantong City</t>
  </si>
  <si>
    <t>Trade TERM:</t>
  </si>
  <si>
    <t>EXW NANTONG</t>
  </si>
  <si>
    <t>PAYMENT TERM:</t>
  </si>
  <si>
    <t>30%+70%T/T</t>
  </si>
  <si>
    <t>PROFORMA INVOICE</t>
  </si>
  <si>
    <t>LOAD PORT:</t>
  </si>
  <si>
    <t>Nantong, China</t>
  </si>
  <si>
    <t>DESTINATION:</t>
  </si>
  <si>
    <t>Brazil</t>
  </si>
  <si>
    <t>PICTURE</t>
  </si>
  <si>
    <t>ITEM No.</t>
  </si>
  <si>
    <t>ITEM NAME</t>
  </si>
  <si>
    <t>Size</t>
  </si>
  <si>
    <t>QTY</t>
  </si>
  <si>
    <t>NANTONG UNIT PRICE</t>
  </si>
  <si>
    <t>TOTAL PRICE
(USD)</t>
  </si>
  <si>
    <t>TOTAL N.W.(KGS)</t>
  </si>
  <si>
    <r>
      <rPr>
        <b/>
        <sz val="12"/>
        <color theme="0"/>
        <rFont val="Times New Roman"/>
        <charset val="134"/>
      </rPr>
      <t xml:space="preserve">MEAS. </t>
    </r>
    <r>
      <rPr>
        <b/>
        <sz val="12"/>
        <color indexed="9"/>
        <rFont val="宋体"/>
        <charset val="134"/>
      </rPr>
      <t>（</t>
    </r>
    <r>
      <rPr>
        <b/>
        <sz val="12"/>
        <color theme="0"/>
        <rFont val="Times New Roman"/>
        <charset val="134"/>
      </rPr>
      <t>CBM</t>
    </r>
    <r>
      <rPr>
        <b/>
        <sz val="12"/>
        <color indexed="9"/>
        <rFont val="宋体"/>
        <charset val="134"/>
      </rPr>
      <t>）</t>
    </r>
  </si>
  <si>
    <t>LOGO</t>
  </si>
  <si>
    <t>OK1012X</t>
  </si>
  <si>
    <t>Rubber Dumbbell</t>
  </si>
  <si>
    <t>ROPE STORE</t>
  </si>
  <si>
    <t>OK3015X</t>
  </si>
  <si>
    <r>
      <rPr>
        <sz val="11"/>
        <rFont val="Verdana Regular"/>
        <charset val="134"/>
      </rPr>
      <t>Rubber Coated Barbell Set</t>
    </r>
    <r>
      <rPr>
        <sz val="11"/>
        <color rgb="FFFF0000"/>
        <rFont val="Verdana Regular"/>
        <charset val="134"/>
      </rPr>
      <t>(curl)</t>
    </r>
  </si>
  <si>
    <r>
      <rPr>
        <sz val="11"/>
        <rFont val="Verdana Regular"/>
        <charset val="134"/>
      </rPr>
      <t>Rubber Coated Barbell Set</t>
    </r>
    <r>
      <rPr>
        <sz val="11"/>
        <color rgb="FFFF0000"/>
        <rFont val="Verdana Regular"/>
        <charset val="134"/>
      </rPr>
      <t>(straight)</t>
    </r>
  </si>
  <si>
    <t>OK0041</t>
  </si>
  <si>
    <t>Barbell Rack</t>
  </si>
  <si>
    <r>
      <rPr>
        <sz val="11"/>
        <rFont val="微软雅黑"/>
        <charset val="134"/>
      </rPr>
      <t>》</t>
    </r>
    <r>
      <rPr>
        <sz val="11"/>
        <rFont val="Verdana Regular"/>
        <charset val="134"/>
      </rPr>
      <t xml:space="preserve">Racks for 10 bars
</t>
    </r>
    <r>
      <rPr>
        <sz val="11"/>
        <rFont val="微软雅黑"/>
        <charset val="134"/>
      </rPr>
      <t>》</t>
    </r>
    <r>
      <rPr>
        <sz val="11"/>
        <rFont val="Verdana Regular"/>
        <charset val="134"/>
      </rPr>
      <t xml:space="preserve">Stable double sided designsn
</t>
    </r>
    <r>
      <rPr>
        <sz val="11"/>
        <rFont val="微软雅黑"/>
        <charset val="134"/>
      </rPr>
      <t>》</t>
    </r>
    <r>
      <rPr>
        <sz val="11"/>
        <rFont val="Verdana Regular"/>
        <charset val="134"/>
      </rPr>
      <t xml:space="preserve">Colour-Black
</t>
    </r>
    <r>
      <rPr>
        <sz val="11"/>
        <rFont val="微软雅黑"/>
        <charset val="134"/>
      </rPr>
      <t>》</t>
    </r>
    <r>
      <rPr>
        <sz val="11"/>
        <rFont val="Verdana Regular"/>
        <charset val="134"/>
      </rPr>
      <t>Oval Frame</t>
    </r>
  </si>
  <si>
    <t>TOTAL:</t>
  </si>
  <si>
    <t>30% deposite:</t>
  </si>
  <si>
    <t>70% balance:</t>
  </si>
  <si>
    <t xml:space="preserve"> </t>
  </si>
  <si>
    <t>Beneficiary：NANTONG OK SPORTING CO.,LTD</t>
  </si>
  <si>
    <t>Address: 388 Yonghe road,Nantong,jiangsu,China</t>
  </si>
  <si>
    <t>Bank：BANK OF CHINA,NANTONG CITY,CHONGCHUAN SUB-BRANCH</t>
  </si>
  <si>
    <t>Bank address:NO.100 YUE LONG ROAD NANTONG</t>
  </si>
  <si>
    <t>SWIFT CODE: BKCHCNBJ95G</t>
  </si>
  <si>
    <t>Account No:513165040944</t>
  </si>
  <si>
    <r>
      <rPr>
        <sz val="9"/>
        <color rgb="FF000000"/>
        <rFont val="Times New Roman"/>
        <charset val="134"/>
      </rPr>
      <t>Buyers</t>
    </r>
    <r>
      <rPr>
        <sz val="9"/>
        <color rgb="FF000000"/>
        <rFont val="宋体"/>
        <charset val="134"/>
      </rPr>
      <t>：</t>
    </r>
  </si>
  <si>
    <r>
      <rPr>
        <sz val="9"/>
        <rFont val="Times New Roman"/>
        <charset val="134"/>
      </rPr>
      <t>Sellers</t>
    </r>
    <r>
      <rPr>
        <sz val="9"/>
        <rFont val="宋体"/>
        <charset val="134"/>
      </rPr>
      <t>：</t>
    </r>
  </si>
  <si>
    <t>Date:</t>
  </si>
  <si>
    <t>AUTHORIZED SIGNATURE</t>
  </si>
  <si>
    <t>OK0011C</t>
  </si>
  <si>
    <t>2-Tiers Dummbbell Rack</t>
  </si>
  <si>
    <r>
      <rPr>
        <sz val="11"/>
        <color theme="1"/>
        <rFont val="微软雅黑"/>
        <charset val="134"/>
      </rPr>
      <t>》</t>
    </r>
    <r>
      <rPr>
        <sz val="11"/>
        <color theme="1"/>
        <rFont val="Verdana Regular"/>
        <charset val="134"/>
      </rPr>
      <t xml:space="preserve">Heavy duty 2 tier design
</t>
    </r>
    <r>
      <rPr>
        <sz val="11"/>
        <color theme="1"/>
        <rFont val="微软雅黑"/>
        <charset val="134"/>
      </rPr>
      <t>》</t>
    </r>
    <r>
      <rPr>
        <sz val="11"/>
        <color theme="1"/>
        <rFont val="Verdana Regular"/>
        <charset val="134"/>
      </rPr>
      <t xml:space="preserve">Black oval frame
</t>
    </r>
    <r>
      <rPr>
        <sz val="11"/>
        <color theme="1"/>
        <rFont val="微软雅黑"/>
        <charset val="134"/>
      </rPr>
      <t>》</t>
    </r>
    <r>
      <rPr>
        <sz val="11"/>
        <color theme="1"/>
        <rFont val="Verdana Regular"/>
        <charset val="134"/>
      </rPr>
      <t xml:space="preserve">Saddles for correct weight location
</t>
    </r>
    <r>
      <rPr>
        <sz val="11"/>
        <color theme="1"/>
        <rFont val="微软雅黑"/>
        <charset val="134"/>
      </rPr>
      <t>》</t>
    </r>
    <r>
      <rPr>
        <sz val="11"/>
        <color theme="1"/>
        <rFont val="Verdana Regular"/>
        <charset val="134"/>
      </rPr>
      <t xml:space="preserve">Saddles prevent damage to dumbells
</t>
    </r>
    <r>
      <rPr>
        <sz val="11"/>
        <color theme="1"/>
        <rFont val="微软雅黑"/>
        <charset val="134"/>
      </rPr>
      <t>》</t>
    </r>
    <r>
      <rPr>
        <sz val="11"/>
        <color theme="1"/>
        <rFont val="Verdana Regular"/>
        <charset val="134"/>
      </rPr>
      <t>Ultra flexible design, These race can be “Daisy chained” togenther to provede one continuous rack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</si>
</sst>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0">
    <numFmt numFmtId="7" formatCode="&quot;￥&quot;#,##0.00;&quot;￥&quot;\-#,##0.00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&quot;pcs&quot;"/>
    <numFmt numFmtId="177" formatCode="\$#,##0.00;\-\$#,##0.00"/>
    <numFmt numFmtId="178" formatCode="0.00&quot;kg&quot;"/>
    <numFmt numFmtId="179" formatCode="0.00_ "/>
    <numFmt numFmtId="180" formatCode="General&quot;kg&quot;"/>
    <numFmt numFmtId="181" formatCode="&quot;US$&quot;#,##0.00_);[Red]&quot;(US$&quot;#,##0.00\)"/>
    <numFmt numFmtId="182" formatCode="yyyy/m/d;@"/>
    <numFmt numFmtId="183" formatCode="\$#,##0.00&quot;/kg&quot;"/>
    <numFmt numFmtId="184" formatCode="&quot;$&quot;0.00"/>
    <numFmt numFmtId="185" formatCode="0&quot;kg&quot;"/>
    <numFmt numFmtId="186" formatCode="&quot;$&quot;0.00&quot;/pc&quot;"/>
    <numFmt numFmtId="187" formatCode="&quot;$&quot;#,##0.00;\-&quot;$&quot;#,##0.00"/>
    <numFmt numFmtId="188" formatCode="\$#,##0.00&quot;/pc&quot;"/>
    <numFmt numFmtId="189" formatCode="0.0&quot;cbm&quot;"/>
  </numFmts>
  <fonts count="60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9"/>
      <name val="微软雅黑"/>
      <charset val="134"/>
    </font>
    <font>
      <sz val="11"/>
      <color theme="1"/>
      <name val="Trebuchet MS"/>
      <charset val="134"/>
    </font>
    <font>
      <sz val="11"/>
      <color rgb="FFFF0000"/>
      <name val="Trebuchet MS"/>
      <charset val="134"/>
    </font>
    <font>
      <b/>
      <sz val="26"/>
      <name val="Times New Roman"/>
      <charset val="134"/>
    </font>
    <font>
      <sz val="12"/>
      <name val="Times New Roman"/>
      <charset val="134"/>
    </font>
    <font>
      <b/>
      <sz val="22"/>
      <color indexed="8"/>
      <name val="Times New Roman"/>
      <charset val="134"/>
    </font>
    <font>
      <b/>
      <sz val="12"/>
      <color theme="0"/>
      <name val="Times New Roman"/>
      <charset val="134"/>
    </font>
    <font>
      <b/>
      <sz val="11"/>
      <color theme="0"/>
      <name val="Times New Roman"/>
      <charset val="134"/>
    </font>
    <font>
      <sz val="11"/>
      <color theme="1"/>
      <name val="Verdana Regular"/>
      <charset val="134"/>
    </font>
    <font>
      <sz val="11"/>
      <name val="Verdana Regular"/>
      <charset val="134"/>
    </font>
    <font>
      <sz val="11"/>
      <name val="微软雅黑"/>
      <charset val="134"/>
    </font>
    <font>
      <sz val="10"/>
      <color indexed="10"/>
      <name val="Times New Roman"/>
      <charset val="134"/>
    </font>
    <font>
      <sz val="9"/>
      <color rgb="FF000000"/>
      <name val="Times New Roman"/>
      <charset val="134"/>
    </font>
    <font>
      <sz val="9"/>
      <color indexed="8"/>
      <name val="Times New Roman"/>
      <charset val="134"/>
    </font>
    <font>
      <sz val="9"/>
      <name val="Times New Roman"/>
      <charset val="134"/>
    </font>
    <font>
      <sz val="11"/>
      <color theme="1"/>
      <name val="微软雅黑"/>
      <charset val="134"/>
    </font>
    <font>
      <b/>
      <sz val="10"/>
      <color indexed="8"/>
      <name val="Times New Roman"/>
      <charset val="134"/>
    </font>
    <font>
      <sz val="12"/>
      <color rgb="FF000000"/>
      <name val="Times New Roman"/>
      <charset val="134"/>
    </font>
    <font>
      <sz val="12"/>
      <color indexed="8"/>
      <name val="Times New Roman"/>
      <charset val="134"/>
    </font>
    <font>
      <b/>
      <sz val="10"/>
      <color theme="1"/>
      <name val="Times New Roman"/>
      <charset val="134"/>
    </font>
    <font>
      <b/>
      <sz val="18"/>
      <color rgb="FF00B0F0"/>
      <name val="Times New Roman"/>
      <charset val="134"/>
    </font>
    <font>
      <sz val="9"/>
      <color theme="1"/>
      <name val="Times New Roman"/>
      <charset val="134"/>
    </font>
    <font>
      <sz val="10"/>
      <color indexed="8"/>
      <name val="微软雅黑"/>
      <charset val="1"/>
    </font>
    <font>
      <sz val="12"/>
      <color indexed="8"/>
      <name val="微软雅黑"/>
      <charset val="1"/>
    </font>
    <font>
      <sz val="10"/>
      <color rgb="FF000000"/>
      <name val="微软雅黑"/>
      <charset val="1"/>
    </font>
    <font>
      <sz val="12"/>
      <color rgb="FF000000"/>
      <name val="微软雅黑"/>
      <charset val="1"/>
    </font>
    <font>
      <sz val="14"/>
      <color indexed="8"/>
      <name val="微软雅黑"/>
      <charset val="1"/>
    </font>
    <font>
      <sz val="10"/>
      <name val="微软雅黑"/>
      <charset val="1"/>
    </font>
    <font>
      <sz val="12"/>
      <name val="微软雅黑"/>
      <charset val="1"/>
    </font>
    <font>
      <b/>
      <sz val="12"/>
      <name val="Times New Roman"/>
      <charset val="134"/>
    </font>
    <font>
      <sz val="14"/>
      <name val="Times New Roman Regular"/>
      <charset val="134"/>
    </font>
    <font>
      <sz val="11"/>
      <color theme="1"/>
      <name val="Verdana"/>
      <charset val="134"/>
    </font>
    <font>
      <sz val="1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Verdana"/>
      <charset val="134"/>
    </font>
    <font>
      <sz val="12"/>
      <name val="宋体"/>
      <charset val="134"/>
    </font>
    <font>
      <sz val="11"/>
      <color rgb="FFFF0000"/>
      <name val="Verdana Regular"/>
      <charset val="134"/>
    </font>
    <font>
      <sz val="9"/>
      <color rgb="FF000000"/>
      <name val="宋体"/>
      <charset val="134"/>
    </font>
    <font>
      <b/>
      <sz val="12"/>
      <color indexed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indexed="26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7" borderId="12" applyNumberFormat="0" applyAlignment="0" applyProtection="0">
      <alignment vertical="center"/>
    </xf>
    <xf numFmtId="0" fontId="44" fillId="8" borderId="13" applyNumberFormat="0" applyAlignment="0" applyProtection="0">
      <alignment vertical="center"/>
    </xf>
    <xf numFmtId="0" fontId="45" fillId="8" borderId="12" applyNumberFormat="0" applyAlignment="0" applyProtection="0">
      <alignment vertical="center"/>
    </xf>
    <xf numFmtId="0" fontId="46" fillId="9" borderId="14" applyNumberFormat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4" fillId="0" borderId="0" applyNumberFormat="0" applyFill="0" applyBorder="0" applyProtection="0">
      <alignment vertical="top" wrapText="1"/>
    </xf>
    <xf numFmtId="0" fontId="54" fillId="0" borderId="0" applyNumberFormat="0" applyFill="0" applyBorder="0" applyProtection="0">
      <alignment vertical="top" wrapText="1"/>
    </xf>
    <xf numFmtId="0" fontId="54" fillId="0" borderId="0" applyNumberFormat="0" applyFill="0" applyBorder="0" applyProtection="0">
      <alignment vertical="top" wrapText="1"/>
    </xf>
    <xf numFmtId="0" fontId="54" fillId="0" borderId="0" applyNumberFormat="0" applyFill="0" applyBorder="0" applyProtection="0">
      <alignment vertical="top" wrapText="1"/>
    </xf>
    <xf numFmtId="0" fontId="55" fillId="0" borderId="0">
      <alignment vertical="center"/>
    </xf>
    <xf numFmtId="0" fontId="55" fillId="0" borderId="0"/>
  </cellStyleXfs>
  <cellXfs count="10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/>
    </xf>
    <xf numFmtId="177" fontId="4" fillId="0" borderId="0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179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 applyProtection="1">
      <alignment horizontal="center" vertical="center"/>
    </xf>
    <xf numFmtId="0" fontId="8" fillId="4" borderId="1" xfId="54" applyFont="1" applyFill="1" applyBorder="1" applyAlignment="1">
      <alignment horizontal="center" vertical="center" wrapText="1"/>
    </xf>
    <xf numFmtId="0" fontId="9" fillId="4" borderId="1" xfId="54" applyFont="1" applyFill="1" applyBorder="1" applyAlignment="1">
      <alignment horizontal="center" vertical="center" wrapText="1"/>
    </xf>
    <xf numFmtId="7" fontId="8" fillId="4" borderId="1" xfId="54" applyNumberFormat="1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180" fontId="11" fillId="0" borderId="1" xfId="0" applyNumberFormat="1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1" fillId="0" borderId="1" xfId="53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4" fillId="0" borderId="1" xfId="0" applyNumberFormat="1" applyFont="1" applyFill="1" applyBorder="1" applyAlignment="1" applyProtection="1">
      <alignment horizontal="left" vertical="center" wrapText="1"/>
    </xf>
    <xf numFmtId="0" fontId="15" fillId="0" borderId="1" xfId="0" applyNumberFormat="1" applyFont="1" applyFill="1" applyBorder="1" applyAlignment="1" applyProtection="1">
      <alignment horizontal="left" vertical="center" wrapText="1"/>
    </xf>
    <xf numFmtId="0" fontId="16" fillId="0" borderId="1" xfId="0" applyNumberFormat="1" applyFont="1" applyFill="1" applyBorder="1" applyAlignment="1" applyProtection="1">
      <alignment horizontal="left" vertical="center" wrapText="1"/>
    </xf>
    <xf numFmtId="0" fontId="17" fillId="0" borderId="1" xfId="0" applyFont="1" applyFill="1" applyBorder="1" applyAlignment="1">
      <alignment horizontal="center" vertical="center" wrapText="1"/>
    </xf>
    <xf numFmtId="179" fontId="18" fillId="3" borderId="1" xfId="0" applyNumberFormat="1" applyFont="1" applyFill="1" applyBorder="1" applyAlignment="1" applyProtection="1">
      <alignment horizontal="center" vertical="center" wrapText="1"/>
    </xf>
    <xf numFmtId="181" fontId="18" fillId="3" borderId="1" xfId="0" applyNumberFormat="1" applyFont="1" applyFill="1" applyBorder="1" applyAlignment="1" applyProtection="1">
      <alignment horizontal="center" vertical="center" wrapText="1"/>
    </xf>
    <xf numFmtId="0" fontId="19" fillId="3" borderId="1" xfId="0" applyFont="1" applyFill="1" applyBorder="1" applyAlignment="1" applyProtection="1">
      <alignment horizontal="center" vertical="center" wrapText="1"/>
      <protection locked="0"/>
    </xf>
    <xf numFmtId="0" fontId="20" fillId="3" borderId="1" xfId="0" applyFont="1" applyFill="1" applyBorder="1" applyAlignment="1" applyProtection="1">
      <alignment horizontal="center" vertical="center" wrapText="1"/>
      <protection locked="0"/>
    </xf>
    <xf numFmtId="179" fontId="21" fillId="2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182" fontId="19" fillId="3" borderId="1" xfId="0" applyNumberFormat="1" applyFont="1" applyFill="1" applyBorder="1" applyAlignment="1" applyProtection="1">
      <alignment horizontal="center" vertical="center" wrapText="1"/>
      <protection locked="0"/>
    </xf>
    <xf numFmtId="182" fontId="20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9" fillId="3" borderId="4" xfId="0" applyFont="1" applyFill="1" applyBorder="1" applyAlignment="1" applyProtection="1">
      <alignment horizontal="center" vertical="center" wrapText="1"/>
      <protection locked="0"/>
    </xf>
    <xf numFmtId="0" fontId="19" fillId="3" borderId="5" xfId="0" applyFont="1" applyFill="1" applyBorder="1" applyAlignment="1" applyProtection="1">
      <alignment horizontal="center" vertical="center" wrapText="1"/>
      <protection locked="0"/>
    </xf>
    <xf numFmtId="0" fontId="22" fillId="3" borderId="1" xfId="0" applyFont="1" applyFill="1" applyBorder="1" applyAlignment="1" applyProtection="1">
      <alignment horizontal="center" vertical="center" wrapText="1"/>
      <protection locked="0"/>
    </xf>
    <xf numFmtId="0" fontId="6" fillId="2" borderId="1" xfId="0" applyNumberFormat="1" applyFont="1" applyFill="1" applyBorder="1" applyAlignment="1">
      <alignment horizontal="center" vertical="center"/>
    </xf>
    <xf numFmtId="176" fontId="8" fillId="4" borderId="1" xfId="54" applyNumberFormat="1" applyFont="1" applyFill="1" applyBorder="1" applyAlignment="1">
      <alignment horizontal="center" vertical="center" wrapText="1"/>
    </xf>
    <xf numFmtId="177" fontId="8" fillId="4" borderId="1" xfId="54" applyNumberFormat="1" applyFont="1" applyFill="1" applyBorder="1" applyAlignment="1">
      <alignment horizontal="center" vertical="center" wrapText="1"/>
    </xf>
    <xf numFmtId="177" fontId="9" fillId="4" borderId="1" xfId="54" applyNumberFormat="1" applyFont="1" applyFill="1" applyBorder="1" applyAlignment="1">
      <alignment horizontal="center" vertical="center" wrapText="1"/>
    </xf>
    <xf numFmtId="178" fontId="9" fillId="4" borderId="1" xfId="54" applyNumberFormat="1" applyFont="1" applyFill="1" applyBorder="1" applyAlignment="1">
      <alignment horizontal="center" vertical="center" wrapText="1"/>
    </xf>
    <xf numFmtId="176" fontId="11" fillId="0" borderId="1" xfId="0" applyNumberFormat="1" applyFont="1" applyFill="1" applyBorder="1" applyAlignment="1">
      <alignment horizontal="center" vertical="center" wrapText="1"/>
    </xf>
    <xf numFmtId="183" fontId="11" fillId="0" borderId="1" xfId="0" applyNumberFormat="1" applyFont="1" applyFill="1" applyBorder="1" applyAlignment="1">
      <alignment horizontal="center" vertical="center" wrapText="1"/>
    </xf>
    <xf numFmtId="184" fontId="10" fillId="0" borderId="1" xfId="0" applyNumberFormat="1" applyFont="1" applyFill="1" applyBorder="1" applyAlignment="1">
      <alignment horizontal="center" vertical="center" wrapText="1"/>
    </xf>
    <xf numFmtId="185" fontId="10" fillId="0" borderId="1" xfId="0" applyNumberFormat="1" applyFont="1" applyFill="1" applyBorder="1" applyAlignment="1">
      <alignment horizontal="center" vertical="center" wrapText="1"/>
    </xf>
    <xf numFmtId="186" fontId="11" fillId="0" borderId="1" xfId="0" applyNumberFormat="1" applyFont="1" applyFill="1" applyBorder="1" applyAlignment="1">
      <alignment horizontal="center" vertical="center" wrapText="1"/>
    </xf>
    <xf numFmtId="184" fontId="11" fillId="0" borderId="1" xfId="49" applyNumberFormat="1" applyFont="1" applyFill="1" applyBorder="1" applyAlignment="1">
      <alignment horizontal="center" vertical="center" wrapText="1"/>
    </xf>
    <xf numFmtId="176" fontId="11" fillId="0" borderId="1" xfId="53" applyNumberFormat="1" applyFont="1" applyFill="1" applyBorder="1" applyAlignment="1">
      <alignment horizontal="center" vertical="center" wrapText="1"/>
    </xf>
    <xf numFmtId="187" fontId="11" fillId="0" borderId="1" xfId="0" applyNumberFormat="1" applyFont="1" applyFill="1" applyBorder="1" applyAlignment="1">
      <alignment horizontal="center" vertical="center" wrapText="1"/>
    </xf>
    <xf numFmtId="179" fontId="8" fillId="4" borderId="1" xfId="0" applyNumberFormat="1" applyFont="1" applyFill="1" applyBorder="1" applyAlignment="1">
      <alignment horizontal="center" vertical="center" wrapText="1"/>
    </xf>
    <xf numFmtId="184" fontId="8" fillId="4" borderId="1" xfId="0" applyNumberFormat="1" applyFont="1" applyFill="1" applyBorder="1" applyAlignment="1">
      <alignment horizontal="center" vertical="center" wrapText="1"/>
    </xf>
    <xf numFmtId="185" fontId="8" fillId="4" borderId="1" xfId="0" applyNumberFormat="1" applyFont="1" applyFill="1" applyBorder="1" applyAlignment="1">
      <alignment horizontal="center" vertical="center" wrapText="1"/>
    </xf>
    <xf numFmtId="179" fontId="13" fillId="5" borderId="1" xfId="0" applyNumberFormat="1" applyFont="1" applyFill="1" applyBorder="1" applyAlignment="1">
      <alignment horizontal="left" vertical="center" wrapText="1"/>
    </xf>
    <xf numFmtId="184" fontId="13" fillId="5" borderId="1" xfId="0" applyNumberFormat="1" applyFont="1" applyFill="1" applyBorder="1" applyAlignment="1">
      <alignment horizontal="left" vertical="center" wrapText="1"/>
    </xf>
    <xf numFmtId="185" fontId="13" fillId="5" borderId="1" xfId="0" applyNumberFormat="1" applyFont="1" applyFill="1" applyBorder="1" applyAlignment="1">
      <alignment horizontal="center" vertical="center" wrapText="1"/>
    </xf>
    <xf numFmtId="179" fontId="16" fillId="0" borderId="1" xfId="0" applyNumberFormat="1" applyFont="1" applyFill="1" applyBorder="1" applyAlignment="1" applyProtection="1">
      <alignment horizontal="left" vertical="center" wrapText="1"/>
    </xf>
    <xf numFmtId="177" fontId="16" fillId="0" borderId="1" xfId="0" applyNumberFormat="1" applyFont="1" applyFill="1" applyBorder="1" applyAlignment="1" applyProtection="1">
      <alignment horizontal="left" vertical="center" wrapText="1"/>
    </xf>
    <xf numFmtId="184" fontId="23" fillId="0" borderId="1" xfId="0" applyNumberFormat="1" applyFont="1" applyFill="1" applyBorder="1" applyAlignment="1" applyProtection="1">
      <alignment horizontal="left" vertical="center"/>
    </xf>
    <xf numFmtId="185" fontId="23" fillId="0" borderId="1" xfId="0" applyNumberFormat="1" applyFont="1" applyFill="1" applyBorder="1" applyAlignment="1" applyProtection="1">
      <alignment horizontal="center" vertical="center"/>
    </xf>
    <xf numFmtId="179" fontId="15" fillId="0" borderId="1" xfId="0" applyNumberFormat="1" applyFont="1" applyFill="1" applyBorder="1" applyAlignment="1" applyProtection="1">
      <alignment horizontal="left" vertical="center" wrapText="1"/>
    </xf>
    <xf numFmtId="0" fontId="23" fillId="0" borderId="1" xfId="0" applyNumberFormat="1" applyFont="1" applyFill="1" applyBorder="1" applyAlignment="1" applyProtection="1">
      <alignment horizontal="left" vertical="center"/>
    </xf>
    <xf numFmtId="188" fontId="11" fillId="0" borderId="1" xfId="0" applyNumberFormat="1" applyFont="1" applyFill="1" applyBorder="1" applyAlignment="1">
      <alignment horizontal="center" vertical="center" wrapText="1"/>
    </xf>
    <xf numFmtId="179" fontId="20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0" xfId="0" applyFont="1" applyFill="1" applyBorder="1" applyAlignment="1" applyProtection="1">
      <alignment horizontal="center" vertical="center" wrapText="1"/>
      <protection locked="0"/>
    </xf>
    <xf numFmtId="0" fontId="25" fillId="3" borderId="0" xfId="0" applyFont="1" applyFill="1" applyBorder="1" applyAlignment="1" applyProtection="1">
      <alignment horizontal="center" vertical="center" wrapText="1"/>
      <protection locked="0"/>
    </xf>
    <xf numFmtId="182" fontId="24" fillId="0" borderId="0" xfId="0" applyNumberFormat="1" applyFont="1" applyFill="1" applyBorder="1" applyAlignment="1" applyProtection="1">
      <alignment horizontal="center" vertical="center" wrapText="1"/>
      <protection locked="0"/>
    </xf>
    <xf numFmtId="182" fontId="25" fillId="3" borderId="0" xfId="0" applyNumberFormat="1" applyFont="1" applyFill="1" applyBorder="1" applyAlignment="1" applyProtection="1">
      <alignment horizontal="center" vertical="center" wrapText="1"/>
      <protection locked="0"/>
    </xf>
    <xf numFmtId="0" fontId="19" fillId="3" borderId="6" xfId="0" applyFont="1" applyFill="1" applyBorder="1" applyAlignment="1" applyProtection="1">
      <alignment horizontal="center" vertical="center" wrapText="1"/>
      <protection locked="0"/>
    </xf>
    <xf numFmtId="0" fontId="26" fillId="0" borderId="0" xfId="0" applyFont="1" applyFill="1" applyBorder="1" applyAlignment="1" applyProtection="1">
      <alignment horizontal="center" vertical="center" wrapText="1"/>
      <protection locked="0"/>
    </xf>
    <xf numFmtId="0" fontId="27" fillId="3" borderId="0" xfId="0" applyFont="1" applyFill="1" applyBorder="1" applyAlignment="1" applyProtection="1">
      <alignment horizontal="center" vertical="center" wrapText="1"/>
      <protection locked="0"/>
    </xf>
    <xf numFmtId="179" fontId="2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8" fillId="3" borderId="0" xfId="0" applyFont="1" applyFill="1" applyBorder="1" applyAlignment="1" applyProtection="1">
      <alignment horizontal="center" vertical="center" wrapText="1"/>
      <protection locked="0"/>
    </xf>
    <xf numFmtId="179" fontId="6" fillId="2" borderId="1" xfId="0" applyNumberFormat="1" applyFont="1" applyFill="1" applyBorder="1" applyAlignment="1">
      <alignment horizontal="center" vertical="center"/>
    </xf>
    <xf numFmtId="0" fontId="29" fillId="0" borderId="0" xfId="0" applyNumberFormat="1" applyFont="1" applyFill="1" applyBorder="1" applyAlignment="1">
      <alignment horizontal="center" vertical="center"/>
    </xf>
    <xf numFmtId="0" fontId="30" fillId="2" borderId="0" xfId="0" applyNumberFormat="1" applyFont="1" applyFill="1" applyBorder="1" applyAlignment="1">
      <alignment horizontal="center" vertical="center"/>
    </xf>
    <xf numFmtId="179" fontId="8" fillId="4" borderId="1" xfId="54" applyNumberFormat="1" applyFont="1" applyFill="1" applyBorder="1" applyAlignment="1">
      <alignment horizontal="center" vertical="center" wrapText="1"/>
    </xf>
    <xf numFmtId="189" fontId="10" fillId="0" borderId="2" xfId="0" applyNumberFormat="1" applyFont="1" applyFill="1" applyBorder="1" applyAlignment="1">
      <alignment horizontal="center" vertical="center" wrapText="1"/>
    </xf>
    <xf numFmtId="189" fontId="10" fillId="0" borderId="3" xfId="0" applyNumberFormat="1" applyFont="1" applyFill="1" applyBorder="1" applyAlignment="1">
      <alignment horizontal="center" vertical="center" wrapText="1"/>
    </xf>
    <xf numFmtId="189" fontId="10" fillId="0" borderId="7" xfId="0" applyNumberFormat="1" applyFont="1" applyFill="1" applyBorder="1" applyAlignment="1">
      <alignment horizontal="center" vertical="center" wrapText="1"/>
    </xf>
    <xf numFmtId="189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179" fontId="11" fillId="0" borderId="1" xfId="0" applyNumberFormat="1" applyFont="1" applyFill="1" applyBorder="1" applyAlignment="1">
      <alignment horizontal="center" vertical="center" wrapText="1"/>
    </xf>
    <xf numFmtId="189" fontId="8" fillId="4" borderId="1" xfId="0" applyNumberFormat="1" applyFont="1" applyFill="1" applyBorder="1" applyAlignment="1">
      <alignment horizontal="center" vertical="center" wrapText="1"/>
    </xf>
    <xf numFmtId="0" fontId="31" fillId="4" borderId="8" xfId="0" applyFont="1" applyFill="1" applyBorder="1" applyAlignment="1">
      <alignment horizontal="center" vertical="center" wrapText="1"/>
    </xf>
    <xf numFmtId="7" fontId="32" fillId="0" borderId="0" xfId="0" applyNumberFormat="1" applyFont="1" applyFill="1" applyBorder="1" applyAlignment="1">
      <alignment horizontal="center" vertical="center" wrapText="1"/>
    </xf>
    <xf numFmtId="0" fontId="33" fillId="0" borderId="0" xfId="51" applyNumberFormat="1" applyFont="1" applyFill="1" applyBorder="1" applyAlignment="1" applyProtection="1">
      <alignment horizontal="center" vertical="center"/>
    </xf>
    <xf numFmtId="189" fontId="13" fillId="5" borderId="1" xfId="0" applyNumberFormat="1" applyFont="1" applyFill="1" applyBorder="1" applyAlignment="1">
      <alignment horizontal="center" vertical="center" wrapText="1"/>
    </xf>
    <xf numFmtId="0" fontId="34" fillId="5" borderId="8" xfId="0" applyFont="1" applyFill="1" applyBorder="1" applyAlignment="1">
      <alignment horizontal="left" vertical="center" wrapText="1"/>
    </xf>
    <xf numFmtId="189" fontId="23" fillId="0" borderId="1" xfId="0" applyNumberFormat="1" applyFont="1" applyFill="1" applyBorder="1" applyAlignment="1" applyProtection="1">
      <alignment horizontal="center" vertical="center"/>
    </xf>
    <xf numFmtId="0" fontId="16" fillId="0" borderId="8" xfId="0" applyNumberFormat="1" applyFont="1" applyFill="1" applyBorder="1" applyAlignment="1" applyProtection="1">
      <alignment horizontal="left" vertical="center"/>
    </xf>
    <xf numFmtId="0" fontId="24" fillId="3" borderId="0" xfId="0" applyFont="1" applyFill="1" applyBorder="1" applyAlignment="1" applyProtection="1">
      <alignment horizontal="right" vertical="center" wrapText="1"/>
      <protection locked="0"/>
    </xf>
    <xf numFmtId="182" fontId="24" fillId="3" borderId="0" xfId="0" applyNumberFormat="1" applyFont="1" applyFill="1" applyBorder="1" applyAlignment="1" applyProtection="1">
      <alignment horizontal="right" vertical="center" wrapText="1"/>
      <protection locked="0"/>
    </xf>
    <xf numFmtId="0" fontId="26" fillId="3" borderId="0" xfId="0" applyFont="1" applyFill="1" applyBorder="1" applyAlignment="1" applyProtection="1">
      <alignment horizontal="right" vertical="center" wrapText="1"/>
      <protection locked="0"/>
    </xf>
    <xf numFmtId="0" fontId="29" fillId="2" borderId="0" xfId="0" applyNumberFormat="1" applyFont="1" applyFill="1" applyBorder="1" applyAlignment="1">
      <alignment horizontal="right" vertical="center"/>
    </xf>
    <xf numFmtId="26" fontId="1" fillId="0" borderId="0" xfId="0" applyNumberFormat="1" applyFont="1" applyFill="1" applyAlignment="1">
      <alignment horizontal="center" vertical="center"/>
    </xf>
    <xf numFmtId="0" fontId="33" fillId="0" borderId="0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vertical="center"/>
    </xf>
    <xf numFmtId="0" fontId="17" fillId="0" borderId="0" xfId="0" applyFont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  <cellStyle name="Normal 4" xfId="51"/>
    <cellStyle name="Normal 5" xfId="52"/>
    <cellStyle name="常规_PI_17" xfId="53"/>
    <cellStyle name="常规_Sales Order_15" xfId="54"/>
  </cellStyles>
  <tableStyles count="0" defaultTableStyle="TableStyleMedium2" defaultPivotStyle="PivotStyleLight16"/>
  <colors>
    <mruColors>
      <color rgb="00FFFF00"/>
      <color rgb="00FF0000"/>
      <color rgb="00000000"/>
      <color rgb="00FFC000"/>
      <color rgb="0000B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0</xdr:colOff>
      <xdr:row>58</xdr:row>
      <xdr:rowOff>0</xdr:rowOff>
    </xdr:from>
    <xdr:to>
      <xdr:col>10</xdr:col>
      <xdr:colOff>264795</xdr:colOff>
      <xdr:row>59</xdr:row>
      <xdr:rowOff>118745</xdr:rowOff>
    </xdr:to>
    <xdr:sp>
      <xdr:nvSpPr>
        <xdr:cNvPr id="9" name="图片 67"/>
        <xdr:cNvSpPr>
          <a:spLocks noChangeAspect="1"/>
        </xdr:cNvSpPr>
      </xdr:nvSpPr>
      <xdr:spPr>
        <a:xfrm>
          <a:off x="14859000" y="18490565"/>
          <a:ext cx="264795" cy="33210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10</xdr:col>
      <xdr:colOff>0</xdr:colOff>
      <xdr:row>58</xdr:row>
      <xdr:rowOff>0</xdr:rowOff>
    </xdr:from>
    <xdr:to>
      <xdr:col>10</xdr:col>
      <xdr:colOff>264795</xdr:colOff>
      <xdr:row>59</xdr:row>
      <xdr:rowOff>118745</xdr:rowOff>
    </xdr:to>
    <xdr:sp>
      <xdr:nvSpPr>
        <xdr:cNvPr id="20" name="图片 68"/>
        <xdr:cNvSpPr>
          <a:spLocks noChangeAspect="1"/>
        </xdr:cNvSpPr>
      </xdr:nvSpPr>
      <xdr:spPr>
        <a:xfrm>
          <a:off x="14859000" y="18490565"/>
          <a:ext cx="264795" cy="33210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10</xdr:col>
      <xdr:colOff>0</xdr:colOff>
      <xdr:row>58</xdr:row>
      <xdr:rowOff>0</xdr:rowOff>
    </xdr:from>
    <xdr:to>
      <xdr:col>10</xdr:col>
      <xdr:colOff>264795</xdr:colOff>
      <xdr:row>59</xdr:row>
      <xdr:rowOff>118745</xdr:rowOff>
    </xdr:to>
    <xdr:sp>
      <xdr:nvSpPr>
        <xdr:cNvPr id="32" name="图片 67"/>
        <xdr:cNvSpPr>
          <a:spLocks noChangeAspect="1"/>
        </xdr:cNvSpPr>
      </xdr:nvSpPr>
      <xdr:spPr>
        <a:xfrm>
          <a:off x="14859000" y="18490565"/>
          <a:ext cx="264795" cy="33210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10</xdr:col>
      <xdr:colOff>0</xdr:colOff>
      <xdr:row>58</xdr:row>
      <xdr:rowOff>0</xdr:rowOff>
    </xdr:from>
    <xdr:to>
      <xdr:col>10</xdr:col>
      <xdr:colOff>264795</xdr:colOff>
      <xdr:row>59</xdr:row>
      <xdr:rowOff>118745</xdr:rowOff>
    </xdr:to>
    <xdr:sp>
      <xdr:nvSpPr>
        <xdr:cNvPr id="33" name="图片 68"/>
        <xdr:cNvSpPr>
          <a:spLocks noChangeAspect="1"/>
        </xdr:cNvSpPr>
      </xdr:nvSpPr>
      <xdr:spPr>
        <a:xfrm>
          <a:off x="14859000" y="18490565"/>
          <a:ext cx="264795" cy="33210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10</xdr:col>
      <xdr:colOff>0</xdr:colOff>
      <xdr:row>58</xdr:row>
      <xdr:rowOff>0</xdr:rowOff>
    </xdr:from>
    <xdr:to>
      <xdr:col>10</xdr:col>
      <xdr:colOff>264795</xdr:colOff>
      <xdr:row>59</xdr:row>
      <xdr:rowOff>118745</xdr:rowOff>
    </xdr:to>
    <xdr:sp>
      <xdr:nvSpPr>
        <xdr:cNvPr id="34" name="图片 43"/>
        <xdr:cNvSpPr>
          <a:spLocks noChangeAspect="1"/>
        </xdr:cNvSpPr>
      </xdr:nvSpPr>
      <xdr:spPr>
        <a:xfrm>
          <a:off x="14859000" y="18490565"/>
          <a:ext cx="264795" cy="33210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10</xdr:col>
      <xdr:colOff>0</xdr:colOff>
      <xdr:row>58</xdr:row>
      <xdr:rowOff>0</xdr:rowOff>
    </xdr:from>
    <xdr:to>
      <xdr:col>10</xdr:col>
      <xdr:colOff>264795</xdr:colOff>
      <xdr:row>59</xdr:row>
      <xdr:rowOff>118745</xdr:rowOff>
    </xdr:to>
    <xdr:sp>
      <xdr:nvSpPr>
        <xdr:cNvPr id="35" name="图片 44"/>
        <xdr:cNvSpPr>
          <a:spLocks noChangeAspect="1"/>
        </xdr:cNvSpPr>
      </xdr:nvSpPr>
      <xdr:spPr>
        <a:xfrm>
          <a:off x="14859000" y="18490565"/>
          <a:ext cx="264795" cy="33210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12700</xdr:colOff>
      <xdr:row>34</xdr:row>
      <xdr:rowOff>12700</xdr:rowOff>
    </xdr:to>
    <xdr:sp>
      <xdr:nvSpPr>
        <xdr:cNvPr id="36" name="AutoShape 225" descr="mail?cmd=cookie"/>
        <xdr:cNvSpPr>
          <a:spLocks noChangeAspect="1"/>
        </xdr:cNvSpPr>
      </xdr:nvSpPr>
      <xdr:spPr>
        <a:xfrm>
          <a:off x="0" y="12045950"/>
          <a:ext cx="12700" cy="127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12700</xdr:colOff>
      <xdr:row>34</xdr:row>
      <xdr:rowOff>12700</xdr:rowOff>
    </xdr:to>
    <xdr:sp>
      <xdr:nvSpPr>
        <xdr:cNvPr id="37" name="矩形3" descr="mail?cmd=cookie"/>
        <xdr:cNvSpPr>
          <a:spLocks noChangeAspect="1"/>
        </xdr:cNvSpPr>
      </xdr:nvSpPr>
      <xdr:spPr>
        <a:xfrm>
          <a:off x="0" y="12045950"/>
          <a:ext cx="12700" cy="127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12700</xdr:colOff>
      <xdr:row>34</xdr:row>
      <xdr:rowOff>12700</xdr:rowOff>
    </xdr:to>
    <xdr:sp>
      <xdr:nvSpPr>
        <xdr:cNvPr id="38" name="AutoShape 225" descr="mail?cmd=cookie"/>
        <xdr:cNvSpPr>
          <a:spLocks noChangeAspect="1"/>
        </xdr:cNvSpPr>
      </xdr:nvSpPr>
      <xdr:spPr>
        <a:xfrm>
          <a:off x="0" y="12045950"/>
          <a:ext cx="12700" cy="127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12700</xdr:colOff>
      <xdr:row>34</xdr:row>
      <xdr:rowOff>66675</xdr:rowOff>
    </xdr:to>
    <xdr:sp>
      <xdr:nvSpPr>
        <xdr:cNvPr id="39" name="Rectangle 3" descr="mail?cmd=cookie"/>
        <xdr:cNvSpPr>
          <a:spLocks noChangeAspect="1"/>
        </xdr:cNvSpPr>
      </xdr:nvSpPr>
      <xdr:spPr>
        <a:xfrm>
          <a:off x="0" y="12045950"/>
          <a:ext cx="12700" cy="66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12700</xdr:colOff>
      <xdr:row>34</xdr:row>
      <xdr:rowOff>12700</xdr:rowOff>
    </xdr:to>
    <xdr:sp>
      <xdr:nvSpPr>
        <xdr:cNvPr id="40" name="AutoShape 225" descr="mail?cmd=cookie"/>
        <xdr:cNvSpPr>
          <a:spLocks noChangeAspect="1"/>
        </xdr:cNvSpPr>
      </xdr:nvSpPr>
      <xdr:spPr>
        <a:xfrm>
          <a:off x="0" y="12045950"/>
          <a:ext cx="12700" cy="12700"/>
        </a:xfrm>
        <a:prstGeom prst="rect">
          <a:avLst/>
        </a:prstGeom>
        <a:noFill/>
        <a:ln w="9525">
          <a:noFill/>
        </a:ln>
      </xdr:spPr>
    </xdr:sp>
    <xdr:clientData fLocksWithSheet="0"/>
  </xdr:twoCellAnchor>
  <xdr:twoCellAnchor editAs="oneCell">
    <xdr:from>
      <xdr:col>0</xdr:col>
      <xdr:colOff>0</xdr:colOff>
      <xdr:row>34</xdr:row>
      <xdr:rowOff>0</xdr:rowOff>
    </xdr:from>
    <xdr:to>
      <xdr:col>0</xdr:col>
      <xdr:colOff>12700</xdr:colOff>
      <xdr:row>34</xdr:row>
      <xdr:rowOff>19685</xdr:rowOff>
    </xdr:to>
    <xdr:sp>
      <xdr:nvSpPr>
        <xdr:cNvPr id="41" name="矩形3" descr="mail?cmd=cookie"/>
        <xdr:cNvSpPr>
          <a:spLocks noChangeAspect="1"/>
        </xdr:cNvSpPr>
      </xdr:nvSpPr>
      <xdr:spPr>
        <a:xfrm>
          <a:off x="0" y="12045950"/>
          <a:ext cx="12700" cy="19685"/>
        </a:xfrm>
        <a:prstGeom prst="rect">
          <a:avLst/>
        </a:prstGeom>
        <a:noFill/>
        <a:ln w="9525">
          <a:noFill/>
        </a:ln>
      </xdr:spPr>
    </xdr:sp>
    <xdr:clientData fLocksWithSheet="0"/>
  </xdr:twoCellAnchor>
  <xdr:twoCellAnchor editAs="oneCell">
    <xdr:from>
      <xdr:col>2</xdr:col>
      <xdr:colOff>1092200</xdr:colOff>
      <xdr:row>34</xdr:row>
      <xdr:rowOff>0</xdr:rowOff>
    </xdr:from>
    <xdr:to>
      <xdr:col>2</xdr:col>
      <xdr:colOff>1527175</xdr:colOff>
      <xdr:row>34</xdr:row>
      <xdr:rowOff>180340</xdr:rowOff>
    </xdr:to>
    <xdr:sp>
      <xdr:nvSpPr>
        <xdr:cNvPr id="42" name="Rectangle 707" descr="https://mail.qq.com/cgi-bin/viewdownfile?f=94A2AAFA23ED35DB51BD8A0E0167CF255255B4E8782041F4D9779B1EBECEBE1FCADCBCF8D2BB3DA8425666CFCAFBE3045B60079816E93738EF68A68AA19C505F9974D4A58AD64E513F5027FB282BC90D8B9F18715290152648793D01B7EE3A1DC5673F2D66428166197AD24CE2965BE0&amp;sid=KrDMT8ZHhEuULT1r"/>
        <xdr:cNvSpPr>
          <a:spLocks noChangeAspect="1"/>
        </xdr:cNvSpPr>
      </xdr:nvSpPr>
      <xdr:spPr>
        <a:xfrm rot="5613473">
          <a:off x="4514215" y="11918315"/>
          <a:ext cx="180340" cy="434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1092200</xdr:colOff>
      <xdr:row>34</xdr:row>
      <xdr:rowOff>0</xdr:rowOff>
    </xdr:from>
    <xdr:to>
      <xdr:col>2</xdr:col>
      <xdr:colOff>1527175</xdr:colOff>
      <xdr:row>34</xdr:row>
      <xdr:rowOff>180340</xdr:rowOff>
    </xdr:to>
    <xdr:sp>
      <xdr:nvSpPr>
        <xdr:cNvPr id="43" name="Rectangle 709" descr="https://mail.qq.com/cgi-bin/viewdownfile?f=94A2AAFA23ED35DB51BD8A0E0167CF255255B4E8782041F4D9779B1EBECEBE1FCADCBCF8D2BB3DA8425666CFCAFBE3045B60079816E93738EF68A68AA19C505F9974D4A58AD64E513F5027FB282BC90D8B9F18715290152648793D01B7EE3A1DC5673F2D66428166197AD24CE2965BE0&amp;sid=KrDMT8ZHhEuULT1r"/>
        <xdr:cNvSpPr>
          <a:spLocks noChangeAspect="1"/>
        </xdr:cNvSpPr>
      </xdr:nvSpPr>
      <xdr:spPr>
        <a:xfrm rot="5613473">
          <a:off x="4514215" y="11918315"/>
          <a:ext cx="180340" cy="4349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12700</xdr:colOff>
      <xdr:row>34</xdr:row>
      <xdr:rowOff>12700</xdr:rowOff>
    </xdr:to>
    <xdr:sp>
      <xdr:nvSpPr>
        <xdr:cNvPr id="44" name="AutoShape 225" descr="mail?cmd=cookie"/>
        <xdr:cNvSpPr>
          <a:spLocks noChangeAspect="1"/>
        </xdr:cNvSpPr>
      </xdr:nvSpPr>
      <xdr:spPr>
        <a:xfrm>
          <a:off x="0" y="12045950"/>
          <a:ext cx="12700" cy="12700"/>
        </a:xfrm>
        <a:prstGeom prst="rect">
          <a:avLst/>
        </a:prstGeom>
        <a:noFill/>
        <a:ln w="9525">
          <a:noFill/>
        </a:ln>
      </xdr:spPr>
    </xdr:sp>
    <xdr:clientData fLocksWithSheet="0"/>
  </xdr:twoCellAnchor>
  <xdr:twoCellAnchor editAs="oneCell">
    <xdr:from>
      <xdr:col>0</xdr:col>
      <xdr:colOff>0</xdr:colOff>
      <xdr:row>34</xdr:row>
      <xdr:rowOff>0</xdr:rowOff>
    </xdr:from>
    <xdr:to>
      <xdr:col>0</xdr:col>
      <xdr:colOff>12700</xdr:colOff>
      <xdr:row>34</xdr:row>
      <xdr:rowOff>19685</xdr:rowOff>
    </xdr:to>
    <xdr:sp>
      <xdr:nvSpPr>
        <xdr:cNvPr id="45" name="矩形3" descr="mail?cmd=cookie"/>
        <xdr:cNvSpPr>
          <a:spLocks noChangeAspect="1"/>
        </xdr:cNvSpPr>
      </xdr:nvSpPr>
      <xdr:spPr>
        <a:xfrm>
          <a:off x="0" y="12045950"/>
          <a:ext cx="12700" cy="19685"/>
        </a:xfrm>
        <a:prstGeom prst="rect">
          <a:avLst/>
        </a:prstGeom>
        <a:noFill/>
        <a:ln w="9525">
          <a:noFill/>
        </a:ln>
      </xdr:spPr>
    </xdr:sp>
    <xdr:clientData fLocksWithSheet="0"/>
  </xdr:twoCellAnchor>
  <xdr:twoCellAnchor editAs="oneCell">
    <xdr:from>
      <xdr:col>0</xdr:col>
      <xdr:colOff>0</xdr:colOff>
      <xdr:row>34</xdr:row>
      <xdr:rowOff>0</xdr:rowOff>
    </xdr:from>
    <xdr:to>
      <xdr:col>0</xdr:col>
      <xdr:colOff>12700</xdr:colOff>
      <xdr:row>34</xdr:row>
      <xdr:rowOff>12700</xdr:rowOff>
    </xdr:to>
    <xdr:sp>
      <xdr:nvSpPr>
        <xdr:cNvPr id="46" name="AutoShape 225" descr="mail?cmd=cookie"/>
        <xdr:cNvSpPr>
          <a:spLocks noChangeAspect="1"/>
        </xdr:cNvSpPr>
      </xdr:nvSpPr>
      <xdr:spPr>
        <a:xfrm>
          <a:off x="0" y="12045950"/>
          <a:ext cx="12700" cy="127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12700</xdr:colOff>
      <xdr:row>34</xdr:row>
      <xdr:rowOff>12700</xdr:rowOff>
    </xdr:to>
    <xdr:sp>
      <xdr:nvSpPr>
        <xdr:cNvPr id="47" name="矩形3" descr="mail?cmd=cookie"/>
        <xdr:cNvSpPr>
          <a:spLocks noChangeAspect="1"/>
        </xdr:cNvSpPr>
      </xdr:nvSpPr>
      <xdr:spPr>
        <a:xfrm>
          <a:off x="0" y="12045950"/>
          <a:ext cx="12700" cy="127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12700</xdr:colOff>
      <xdr:row>34</xdr:row>
      <xdr:rowOff>12700</xdr:rowOff>
    </xdr:to>
    <xdr:sp>
      <xdr:nvSpPr>
        <xdr:cNvPr id="48" name="AutoShape 225" descr="mail?cmd=cookie"/>
        <xdr:cNvSpPr>
          <a:spLocks noChangeAspect="1"/>
        </xdr:cNvSpPr>
      </xdr:nvSpPr>
      <xdr:spPr>
        <a:xfrm>
          <a:off x="0" y="12045950"/>
          <a:ext cx="12700" cy="127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12700</xdr:colOff>
      <xdr:row>34</xdr:row>
      <xdr:rowOff>66675</xdr:rowOff>
    </xdr:to>
    <xdr:sp>
      <xdr:nvSpPr>
        <xdr:cNvPr id="49" name="Rectangle 3" descr="mail?cmd=cookie"/>
        <xdr:cNvSpPr>
          <a:spLocks noChangeAspect="1"/>
        </xdr:cNvSpPr>
      </xdr:nvSpPr>
      <xdr:spPr>
        <a:xfrm>
          <a:off x="0" y="12045950"/>
          <a:ext cx="12700" cy="6667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12700</xdr:colOff>
      <xdr:row>34</xdr:row>
      <xdr:rowOff>12700</xdr:rowOff>
    </xdr:to>
    <xdr:sp>
      <xdr:nvSpPr>
        <xdr:cNvPr id="50" name="AutoShape 225" descr="mail?cmd=cookie"/>
        <xdr:cNvSpPr>
          <a:spLocks noChangeAspect="1"/>
        </xdr:cNvSpPr>
      </xdr:nvSpPr>
      <xdr:spPr>
        <a:xfrm>
          <a:off x="0" y="12045950"/>
          <a:ext cx="12700" cy="12700"/>
        </a:xfrm>
        <a:prstGeom prst="rect">
          <a:avLst/>
        </a:prstGeom>
        <a:noFill/>
        <a:ln w="9525">
          <a:noFill/>
        </a:ln>
      </xdr:spPr>
    </xdr:sp>
    <xdr:clientData fLocksWithSheet="0"/>
  </xdr:twoCellAnchor>
  <xdr:twoCellAnchor editAs="oneCell">
    <xdr:from>
      <xdr:col>0</xdr:col>
      <xdr:colOff>0</xdr:colOff>
      <xdr:row>34</xdr:row>
      <xdr:rowOff>0</xdr:rowOff>
    </xdr:from>
    <xdr:to>
      <xdr:col>0</xdr:col>
      <xdr:colOff>12700</xdr:colOff>
      <xdr:row>34</xdr:row>
      <xdr:rowOff>19685</xdr:rowOff>
    </xdr:to>
    <xdr:sp>
      <xdr:nvSpPr>
        <xdr:cNvPr id="51" name="矩形3" descr="mail?cmd=cookie"/>
        <xdr:cNvSpPr>
          <a:spLocks noChangeAspect="1"/>
        </xdr:cNvSpPr>
      </xdr:nvSpPr>
      <xdr:spPr>
        <a:xfrm>
          <a:off x="0" y="12045950"/>
          <a:ext cx="12700" cy="19685"/>
        </a:xfrm>
        <a:prstGeom prst="rect">
          <a:avLst/>
        </a:prstGeom>
        <a:noFill/>
        <a:ln w="9525">
          <a:noFill/>
        </a:ln>
      </xdr:spPr>
    </xdr:sp>
    <xdr:clientData fLocksWithSheet="0"/>
  </xdr:twoCellAnchor>
  <xdr:twoCellAnchor editAs="oneCell">
    <xdr:from>
      <xdr:col>2</xdr:col>
      <xdr:colOff>676910</xdr:colOff>
      <xdr:row>34</xdr:row>
      <xdr:rowOff>0</xdr:rowOff>
    </xdr:from>
    <xdr:to>
      <xdr:col>2</xdr:col>
      <xdr:colOff>1214755</xdr:colOff>
      <xdr:row>34</xdr:row>
      <xdr:rowOff>213360</xdr:rowOff>
    </xdr:to>
    <xdr:sp>
      <xdr:nvSpPr>
        <xdr:cNvPr id="52" name="Rectangle 707" descr="https://mail.qq.com/cgi-bin/viewdownfile?f=94A2AAFA23ED35DB51BD8A0E0167CF255255B4E8782041F4D9779B1EBECEBE1FCADCBCF8D2BB3DA8425666CFCAFBE3045B60079816E93738EF68A68AA19C505F9974D4A58AD64E513F5027FB282BC90D8B9F18715290152648793D01B7EE3A1DC5673F2D66428166197AD24CE2965BE0&amp;sid=KrDMT8ZHhEuULT1r"/>
        <xdr:cNvSpPr>
          <a:spLocks noChangeAspect="1"/>
        </xdr:cNvSpPr>
      </xdr:nvSpPr>
      <xdr:spPr>
        <a:xfrm rot="5613473">
          <a:off x="4133850" y="11883390"/>
          <a:ext cx="213360" cy="5378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545465</xdr:colOff>
      <xdr:row>31</xdr:row>
      <xdr:rowOff>180340</xdr:rowOff>
    </xdr:to>
    <xdr:sp>
      <xdr:nvSpPr>
        <xdr:cNvPr id="53" name="Rectangle 709" descr="https://mail.qq.com/cgi-bin/viewdownfile?f=94A2AAFA23ED35DB51BD8A0E0167CF255255B4E8782041F4D9779B1EBECEBE1FCADCBCF8D2BB3DA8425666CFCAFBE3045B60079816E93738EF68A68AA19C505F9974D4A58AD64E513F5027FB282BC90D8B9F18715290152648793D01B7EE3A1DC5673F2D66428166197AD24CE2965BE0&amp;sid=KrDMT8ZHhEuULT1r"/>
        <xdr:cNvSpPr>
          <a:spLocks noChangeAspect="1"/>
        </xdr:cNvSpPr>
      </xdr:nvSpPr>
      <xdr:spPr>
        <a:xfrm rot="5613473">
          <a:off x="5157470" y="10680065"/>
          <a:ext cx="180340" cy="54546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12700</xdr:colOff>
      <xdr:row>34</xdr:row>
      <xdr:rowOff>12700</xdr:rowOff>
    </xdr:to>
    <xdr:sp>
      <xdr:nvSpPr>
        <xdr:cNvPr id="54" name="AutoShape 225" descr="mail?cmd=cookie"/>
        <xdr:cNvSpPr>
          <a:spLocks noChangeAspect="1"/>
        </xdr:cNvSpPr>
      </xdr:nvSpPr>
      <xdr:spPr>
        <a:xfrm>
          <a:off x="0" y="12045950"/>
          <a:ext cx="12700" cy="12700"/>
        </a:xfrm>
        <a:prstGeom prst="rect">
          <a:avLst/>
        </a:prstGeom>
        <a:noFill/>
        <a:ln w="9525">
          <a:noFill/>
        </a:ln>
      </xdr:spPr>
    </xdr:sp>
    <xdr:clientData fLocksWithSheet="0"/>
  </xdr:twoCellAnchor>
  <xdr:twoCellAnchor editAs="oneCell">
    <xdr:from>
      <xdr:col>0</xdr:col>
      <xdr:colOff>0</xdr:colOff>
      <xdr:row>34</xdr:row>
      <xdr:rowOff>0</xdr:rowOff>
    </xdr:from>
    <xdr:to>
      <xdr:col>0</xdr:col>
      <xdr:colOff>12700</xdr:colOff>
      <xdr:row>34</xdr:row>
      <xdr:rowOff>17780</xdr:rowOff>
    </xdr:to>
    <xdr:sp>
      <xdr:nvSpPr>
        <xdr:cNvPr id="55" name="矩形3" descr="mail?cmd=cookie"/>
        <xdr:cNvSpPr>
          <a:spLocks noChangeAspect="1"/>
        </xdr:cNvSpPr>
      </xdr:nvSpPr>
      <xdr:spPr>
        <a:xfrm>
          <a:off x="0" y="12045950"/>
          <a:ext cx="12700" cy="17780"/>
        </a:xfrm>
        <a:prstGeom prst="rect">
          <a:avLst/>
        </a:prstGeom>
        <a:noFill/>
        <a:ln w="9525">
          <a:noFill/>
        </a:ln>
      </xdr:spPr>
    </xdr:sp>
    <xdr:clientData fLocksWithSheet="0"/>
  </xdr:twoCellAnchor>
  <xdr:twoCellAnchor editAs="oneCell">
    <xdr:from>
      <xdr:col>0</xdr:col>
      <xdr:colOff>0</xdr:colOff>
      <xdr:row>34</xdr:row>
      <xdr:rowOff>0</xdr:rowOff>
    </xdr:from>
    <xdr:to>
      <xdr:col>0</xdr:col>
      <xdr:colOff>12700</xdr:colOff>
      <xdr:row>34</xdr:row>
      <xdr:rowOff>12700</xdr:rowOff>
    </xdr:to>
    <xdr:sp>
      <xdr:nvSpPr>
        <xdr:cNvPr id="56" name="AutoShape 225" descr="mail?cmd=cookie"/>
        <xdr:cNvSpPr>
          <a:spLocks noChangeAspect="1"/>
        </xdr:cNvSpPr>
      </xdr:nvSpPr>
      <xdr:spPr>
        <a:xfrm>
          <a:off x="0" y="12045950"/>
          <a:ext cx="12700" cy="127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12700</xdr:colOff>
      <xdr:row>34</xdr:row>
      <xdr:rowOff>12700</xdr:rowOff>
    </xdr:to>
    <xdr:sp>
      <xdr:nvSpPr>
        <xdr:cNvPr id="57" name="矩形3" descr="mail?cmd=cookie"/>
        <xdr:cNvSpPr>
          <a:spLocks noChangeAspect="1"/>
        </xdr:cNvSpPr>
      </xdr:nvSpPr>
      <xdr:spPr>
        <a:xfrm>
          <a:off x="0" y="12045950"/>
          <a:ext cx="12700" cy="127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12700</xdr:colOff>
      <xdr:row>34</xdr:row>
      <xdr:rowOff>12700</xdr:rowOff>
    </xdr:to>
    <xdr:sp>
      <xdr:nvSpPr>
        <xdr:cNvPr id="58" name="AutoShape 225" descr="mail?cmd=cookie"/>
        <xdr:cNvSpPr>
          <a:spLocks noChangeAspect="1"/>
        </xdr:cNvSpPr>
      </xdr:nvSpPr>
      <xdr:spPr>
        <a:xfrm>
          <a:off x="0" y="12045950"/>
          <a:ext cx="12700" cy="127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12700</xdr:colOff>
      <xdr:row>34</xdr:row>
      <xdr:rowOff>64770</xdr:rowOff>
    </xdr:to>
    <xdr:sp>
      <xdr:nvSpPr>
        <xdr:cNvPr id="59" name="Rectangle 3" descr="mail?cmd=cookie"/>
        <xdr:cNvSpPr>
          <a:spLocks noChangeAspect="1"/>
        </xdr:cNvSpPr>
      </xdr:nvSpPr>
      <xdr:spPr>
        <a:xfrm>
          <a:off x="0" y="12045950"/>
          <a:ext cx="12700" cy="6477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12700</xdr:colOff>
      <xdr:row>34</xdr:row>
      <xdr:rowOff>12700</xdr:rowOff>
    </xdr:to>
    <xdr:sp>
      <xdr:nvSpPr>
        <xdr:cNvPr id="60" name="AutoShape 225" descr="mail?cmd=cookie"/>
        <xdr:cNvSpPr>
          <a:spLocks noChangeAspect="1"/>
        </xdr:cNvSpPr>
      </xdr:nvSpPr>
      <xdr:spPr>
        <a:xfrm>
          <a:off x="0" y="12045950"/>
          <a:ext cx="12700" cy="12700"/>
        </a:xfrm>
        <a:prstGeom prst="rect">
          <a:avLst/>
        </a:prstGeom>
        <a:noFill/>
        <a:ln w="9525">
          <a:noFill/>
        </a:ln>
      </xdr:spPr>
    </xdr:sp>
    <xdr:clientData fLocksWithSheet="0"/>
  </xdr:twoCellAnchor>
  <xdr:twoCellAnchor editAs="oneCell">
    <xdr:from>
      <xdr:col>0</xdr:col>
      <xdr:colOff>0</xdr:colOff>
      <xdr:row>34</xdr:row>
      <xdr:rowOff>0</xdr:rowOff>
    </xdr:from>
    <xdr:to>
      <xdr:col>0</xdr:col>
      <xdr:colOff>12700</xdr:colOff>
      <xdr:row>34</xdr:row>
      <xdr:rowOff>20955</xdr:rowOff>
    </xdr:to>
    <xdr:sp>
      <xdr:nvSpPr>
        <xdr:cNvPr id="61" name="矩形3" descr="mail?cmd=cookie"/>
        <xdr:cNvSpPr>
          <a:spLocks noChangeAspect="1"/>
        </xdr:cNvSpPr>
      </xdr:nvSpPr>
      <xdr:spPr>
        <a:xfrm>
          <a:off x="0" y="12045950"/>
          <a:ext cx="12700" cy="20955"/>
        </a:xfrm>
        <a:prstGeom prst="rect">
          <a:avLst/>
        </a:prstGeom>
        <a:noFill/>
        <a:ln w="9525">
          <a:noFill/>
        </a:ln>
      </xdr:spPr>
    </xdr:sp>
    <xdr:clientData fLocksWithSheet="0"/>
  </xdr:twoCellAnchor>
  <xdr:twoCellAnchor editAs="oneCell">
    <xdr:from>
      <xdr:col>3</xdr:col>
      <xdr:colOff>0</xdr:colOff>
      <xdr:row>31</xdr:row>
      <xdr:rowOff>0</xdr:rowOff>
    </xdr:from>
    <xdr:to>
      <xdr:col>3</xdr:col>
      <xdr:colOff>440690</xdr:colOff>
      <xdr:row>31</xdr:row>
      <xdr:rowOff>180340</xdr:rowOff>
    </xdr:to>
    <xdr:sp>
      <xdr:nvSpPr>
        <xdr:cNvPr id="62" name="Rectangle 707" descr="https://mail.qq.com/cgi-bin/viewdownfile?f=94A2AAFA23ED35DB51BD8A0E0167CF255255B4E8782041F4D9779B1EBECEBE1FCADCBCF8D2BB3DA8425666CFCAFBE3045B60079816E93738EF68A68AA19C505F9974D4A58AD64E513F5027FB282BC90D8B9F18715290152648793D01B7EE3A1DC5673F2D66428166197AD24CE2965BE0&amp;sid=KrDMT8ZHhEuULT1r"/>
        <xdr:cNvSpPr>
          <a:spLocks noChangeAspect="1"/>
        </xdr:cNvSpPr>
      </xdr:nvSpPr>
      <xdr:spPr>
        <a:xfrm rot="5613473">
          <a:off x="5105400" y="10732770"/>
          <a:ext cx="180340" cy="4406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440690</xdr:colOff>
      <xdr:row>31</xdr:row>
      <xdr:rowOff>179070</xdr:rowOff>
    </xdr:to>
    <xdr:sp>
      <xdr:nvSpPr>
        <xdr:cNvPr id="63" name="Rectangle 709" descr="https://mail.qq.com/cgi-bin/viewdownfile?f=94A2AAFA23ED35DB51BD8A0E0167CF255255B4E8782041F4D9779B1EBECEBE1FCADCBCF8D2BB3DA8425666CFCAFBE3045B60079816E93738EF68A68AA19C505F9974D4A58AD64E513F5027FB282BC90D8B9F18715290152648793D01B7EE3A1DC5673F2D66428166197AD24CE2965BE0&amp;sid=KrDMT8ZHhEuULT1r"/>
        <xdr:cNvSpPr>
          <a:spLocks noChangeAspect="1"/>
        </xdr:cNvSpPr>
      </xdr:nvSpPr>
      <xdr:spPr>
        <a:xfrm rot="5613473">
          <a:off x="5106035" y="10732135"/>
          <a:ext cx="179070" cy="44069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12700</xdr:colOff>
      <xdr:row>34</xdr:row>
      <xdr:rowOff>12700</xdr:rowOff>
    </xdr:to>
    <xdr:sp>
      <xdr:nvSpPr>
        <xdr:cNvPr id="64" name="AutoShape 225" descr="mail?cmd=cookie"/>
        <xdr:cNvSpPr>
          <a:spLocks noChangeAspect="1"/>
        </xdr:cNvSpPr>
      </xdr:nvSpPr>
      <xdr:spPr>
        <a:xfrm>
          <a:off x="0" y="12045950"/>
          <a:ext cx="12700" cy="12700"/>
        </a:xfrm>
        <a:prstGeom prst="rect">
          <a:avLst/>
        </a:prstGeom>
        <a:noFill/>
        <a:ln w="9525">
          <a:noFill/>
        </a:ln>
      </xdr:spPr>
    </xdr:sp>
    <xdr:clientData fLocksWithSheet="0"/>
  </xdr:twoCellAnchor>
  <xdr:twoCellAnchor editAs="oneCell">
    <xdr:from>
      <xdr:col>0</xdr:col>
      <xdr:colOff>0</xdr:colOff>
      <xdr:row>34</xdr:row>
      <xdr:rowOff>0</xdr:rowOff>
    </xdr:from>
    <xdr:to>
      <xdr:col>0</xdr:col>
      <xdr:colOff>12700</xdr:colOff>
      <xdr:row>34</xdr:row>
      <xdr:rowOff>20955</xdr:rowOff>
    </xdr:to>
    <xdr:sp>
      <xdr:nvSpPr>
        <xdr:cNvPr id="65" name="矩形3" descr="mail?cmd=cookie"/>
        <xdr:cNvSpPr>
          <a:spLocks noChangeAspect="1"/>
        </xdr:cNvSpPr>
      </xdr:nvSpPr>
      <xdr:spPr>
        <a:xfrm>
          <a:off x="0" y="12045950"/>
          <a:ext cx="12700" cy="20955"/>
        </a:xfrm>
        <a:prstGeom prst="rect">
          <a:avLst/>
        </a:prstGeom>
        <a:noFill/>
        <a:ln w="9525">
          <a:noFill/>
        </a:ln>
      </xdr:spPr>
    </xdr:sp>
    <xdr:clientData fLocksWithSheet="0"/>
  </xdr:twoCellAnchor>
  <xdr:twoCellAnchor editAs="oneCell">
    <xdr:from>
      <xdr:col>0</xdr:col>
      <xdr:colOff>142240</xdr:colOff>
      <xdr:row>0</xdr:row>
      <xdr:rowOff>60325</xdr:rowOff>
    </xdr:from>
    <xdr:to>
      <xdr:col>0</xdr:col>
      <xdr:colOff>1399540</xdr:colOff>
      <xdr:row>1</xdr:row>
      <xdr:rowOff>221615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2240" y="60325"/>
          <a:ext cx="1257300" cy="427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11</xdr:col>
      <xdr:colOff>243840</xdr:colOff>
      <xdr:row>31</xdr:row>
      <xdr:rowOff>243840</xdr:rowOff>
    </xdr:to>
    <xdr:pic>
      <xdr:nvPicPr>
        <xdr:cNvPr id="4" name="图片 3"/>
        <xdr:cNvPicPr>
          <a:picLocks noChangeAspect="1"/>
        </xdr:cNvPicPr>
      </xdr:nvPicPr>
      <xdr:blipFill>
        <a:stretch>
          <a:fillRect/>
        </a:stretch>
      </xdr:blipFill>
      <xdr:spPr>
        <a:xfrm>
          <a:off x="15910560" y="10862945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0</xdr:colOff>
      <xdr:row>31</xdr:row>
      <xdr:rowOff>0</xdr:rowOff>
    </xdr:from>
    <xdr:to>
      <xdr:col>13</xdr:col>
      <xdr:colOff>243840</xdr:colOff>
      <xdr:row>31</xdr:row>
      <xdr:rowOff>243840</xdr:rowOff>
    </xdr:to>
    <xdr:pic>
      <xdr:nvPicPr>
        <xdr:cNvPr id="5" name="图片 4"/>
        <xdr:cNvPicPr>
          <a:picLocks noChangeAspect="1"/>
        </xdr:cNvPicPr>
      </xdr:nvPicPr>
      <xdr:blipFill>
        <a:stretch>
          <a:fillRect/>
        </a:stretch>
      </xdr:blipFill>
      <xdr:spPr>
        <a:xfrm>
          <a:off x="17282795" y="10862945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65405</xdr:colOff>
      <xdr:row>10</xdr:row>
      <xdr:rowOff>112395</xdr:rowOff>
    </xdr:from>
    <xdr:to>
      <xdr:col>0</xdr:col>
      <xdr:colOff>2018665</xdr:colOff>
      <xdr:row>16</xdr:row>
      <xdr:rowOff>123825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5405" y="4403090"/>
          <a:ext cx="1953260" cy="1234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77470</xdr:colOff>
      <xdr:row>20</xdr:row>
      <xdr:rowOff>229870</xdr:rowOff>
    </xdr:from>
    <xdr:to>
      <xdr:col>0</xdr:col>
      <xdr:colOff>2061210</xdr:colOff>
      <xdr:row>24</xdr:row>
      <xdr:rowOff>17780</xdr:rowOff>
    </xdr:to>
    <xdr:pic>
      <xdr:nvPicPr>
        <xdr:cNvPr id="10" name="图片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7470" y="6558915"/>
          <a:ext cx="1983740" cy="854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106680</xdr:colOff>
      <xdr:row>26</xdr:row>
      <xdr:rowOff>15240</xdr:rowOff>
    </xdr:from>
    <xdr:to>
      <xdr:col>0</xdr:col>
      <xdr:colOff>1964055</xdr:colOff>
      <xdr:row>29</xdr:row>
      <xdr:rowOff>22860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6680" y="7944485"/>
          <a:ext cx="1857375" cy="807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394335</xdr:colOff>
      <xdr:row>30</xdr:row>
      <xdr:rowOff>243205</xdr:rowOff>
    </xdr:from>
    <xdr:to>
      <xdr:col>0</xdr:col>
      <xdr:colOff>1648460</xdr:colOff>
      <xdr:row>30</xdr:row>
      <xdr:rowOff>1729740</xdr:rowOff>
    </xdr:to>
    <xdr:pic>
      <xdr:nvPicPr>
        <xdr:cNvPr id="12" name="图片 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94335" y="9239250"/>
          <a:ext cx="1254125" cy="1486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164465</xdr:colOff>
      <xdr:row>45</xdr:row>
      <xdr:rowOff>67310</xdr:rowOff>
    </xdr:from>
    <xdr:to>
      <xdr:col>0</xdr:col>
      <xdr:colOff>2075815</xdr:colOff>
      <xdr:row>45</xdr:row>
      <xdr:rowOff>963295</xdr:rowOff>
    </xdr:to>
    <xdr:pic>
      <xdr:nvPicPr>
        <xdr:cNvPr id="1246" name="ID_430459BE8551489195FCF4D28C19E80C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4465" y="14917420"/>
          <a:ext cx="1911350" cy="8959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6"/>
  <sheetViews>
    <sheetView tabSelected="1" view="pageBreakPreview" zoomScale="80" zoomScaleNormal="100" workbookViewId="0">
      <selection activeCell="J10" sqref="J10"/>
    </sheetView>
  </sheetViews>
  <sheetFormatPr defaultColWidth="9" defaultRowHeight="16.8"/>
  <cols>
    <col min="1" max="1" width="31.5576923076923" style="5" customWidth="1"/>
    <col min="2" max="2" width="18.3365384615385" style="6" customWidth="1"/>
    <col min="3" max="3" width="25.4423076923077" style="6" customWidth="1"/>
    <col min="4" max="4" width="33.6634615384615" style="7" customWidth="1"/>
    <col min="5" max="5" width="18" style="8" customWidth="1"/>
    <col min="6" max="6" width="18" style="9" customWidth="1"/>
    <col min="7" max="7" width="20" style="10" customWidth="1"/>
    <col min="8" max="8" width="20" style="11" customWidth="1"/>
    <col min="9" max="10" width="20" style="12" customWidth="1"/>
    <col min="11" max="11" width="15.9230769230769" style="13"/>
    <col min="12" max="12" width="11.7788461538462" style="5"/>
    <col min="13" max="13" width="9" style="5"/>
    <col min="14" max="14" width="13.8846153846154" style="5"/>
    <col min="15" max="16384" width="9" style="5"/>
  </cols>
  <sheetData>
    <row r="1" ht="21" customHeight="1" spans="1:18">
      <c r="A1" s="14" t="s">
        <v>0</v>
      </c>
      <c r="B1" s="14"/>
      <c r="C1" s="14"/>
      <c r="D1" s="14"/>
      <c r="E1" s="33" t="s">
        <v>1</v>
      </c>
      <c r="F1" s="34"/>
      <c r="G1" s="35" t="s">
        <v>2</v>
      </c>
      <c r="H1" s="36"/>
      <c r="I1" s="70"/>
      <c r="J1" s="70"/>
      <c r="K1" s="71"/>
      <c r="L1" s="72"/>
      <c r="M1" s="72"/>
      <c r="N1" s="98"/>
      <c r="O1" s="72"/>
      <c r="P1" s="72"/>
      <c r="Q1" s="72"/>
      <c r="R1" s="72"/>
    </row>
    <row r="2" ht="21" customHeight="1" spans="1:18">
      <c r="A2" s="14"/>
      <c r="B2" s="14"/>
      <c r="C2" s="14"/>
      <c r="D2" s="14"/>
      <c r="E2" s="37" t="s">
        <v>3</v>
      </c>
      <c r="F2" s="38"/>
      <c r="G2" s="35">
        <v>1</v>
      </c>
      <c r="H2" s="36"/>
      <c r="I2" s="70"/>
      <c r="J2" s="70"/>
      <c r="K2" s="71"/>
      <c r="L2" s="72"/>
      <c r="M2" s="72"/>
      <c r="N2" s="98"/>
      <c r="O2" s="72"/>
      <c r="P2" s="72"/>
      <c r="Q2" s="72"/>
      <c r="R2" s="72"/>
    </row>
    <row r="3" ht="21" customHeight="1" spans="1:18">
      <c r="A3" s="14"/>
      <c r="B3" s="14"/>
      <c r="C3" s="14"/>
      <c r="D3" s="14"/>
      <c r="E3" s="33" t="s">
        <v>4</v>
      </c>
      <c r="F3" s="34"/>
      <c r="G3" s="39">
        <v>45967</v>
      </c>
      <c r="H3" s="40"/>
      <c r="I3" s="40"/>
      <c r="J3" s="40"/>
      <c r="K3" s="73"/>
      <c r="L3" s="74"/>
      <c r="M3" s="74"/>
      <c r="N3" s="99"/>
      <c r="O3" s="74"/>
      <c r="P3" s="74"/>
      <c r="Q3" s="74"/>
      <c r="R3" s="74"/>
    </row>
    <row r="4" ht="81" customHeight="1" spans="1:18">
      <c r="A4" s="14"/>
      <c r="B4" s="14"/>
      <c r="C4" s="14"/>
      <c r="D4" s="14"/>
      <c r="E4" s="33" t="s">
        <v>5</v>
      </c>
      <c r="F4" s="34"/>
      <c r="G4" s="41" t="s">
        <v>6</v>
      </c>
      <c r="H4" s="42"/>
      <c r="I4" s="42"/>
      <c r="J4" s="75"/>
      <c r="K4" s="76"/>
      <c r="L4" s="77"/>
      <c r="M4" s="77"/>
      <c r="N4" s="100"/>
      <c r="O4" s="77"/>
      <c r="P4" s="77"/>
      <c r="Q4" s="77"/>
      <c r="R4" s="77"/>
    </row>
    <row r="5" ht="81" customHeight="1" spans="1:18">
      <c r="A5" s="15" t="s">
        <v>7</v>
      </c>
      <c r="B5" s="15"/>
      <c r="C5" s="15"/>
      <c r="D5" s="15"/>
      <c r="E5" s="33" t="s">
        <v>8</v>
      </c>
      <c r="F5" s="34"/>
      <c r="G5" s="41" t="s">
        <v>9</v>
      </c>
      <c r="H5" s="42"/>
      <c r="I5" s="42"/>
      <c r="J5" s="75"/>
      <c r="K5" s="76"/>
      <c r="L5" s="77"/>
      <c r="M5" s="77"/>
      <c r="N5" s="100"/>
      <c r="O5" s="77"/>
      <c r="P5" s="77"/>
      <c r="Q5" s="77"/>
      <c r="R5" s="77"/>
    </row>
    <row r="6" ht="26" spans="1:18">
      <c r="A6" s="16" t="s">
        <v>10</v>
      </c>
      <c r="B6" s="16"/>
      <c r="C6" s="16"/>
      <c r="D6" s="16"/>
      <c r="E6" s="33" t="s">
        <v>11</v>
      </c>
      <c r="F6" s="34"/>
      <c r="G6" s="43" t="s">
        <v>12</v>
      </c>
      <c r="H6" s="43"/>
      <c r="I6" s="78"/>
      <c r="J6" s="78"/>
      <c r="K6" s="71"/>
      <c r="L6" s="79"/>
      <c r="M6" s="72"/>
      <c r="N6" s="98"/>
      <c r="O6" s="72"/>
      <c r="Q6" s="72"/>
      <c r="R6" s="72"/>
    </row>
    <row r="7" ht="17.6" spans="1:18">
      <c r="A7" s="16"/>
      <c r="B7" s="16"/>
      <c r="C7" s="16"/>
      <c r="D7" s="16"/>
      <c r="E7" s="37" t="s">
        <v>13</v>
      </c>
      <c r="F7" s="38"/>
      <c r="G7" s="44" t="s">
        <v>14</v>
      </c>
      <c r="H7" s="44"/>
      <c r="I7" s="80"/>
      <c r="J7" s="80"/>
      <c r="K7" s="81"/>
      <c r="L7" s="82"/>
      <c r="M7" s="82"/>
      <c r="N7" s="101"/>
      <c r="O7" s="82"/>
      <c r="P7" s="72"/>
      <c r="Q7" s="82"/>
      <c r="R7" s="82"/>
    </row>
    <row r="8" ht="17.6" spans="1:18">
      <c r="A8" s="17" t="s">
        <v>15</v>
      </c>
      <c r="B8" s="17"/>
      <c r="C8" s="17"/>
      <c r="D8" s="17"/>
      <c r="E8" s="33" t="s">
        <v>16</v>
      </c>
      <c r="F8" s="34"/>
      <c r="G8" s="35" t="s">
        <v>17</v>
      </c>
      <c r="H8" s="36"/>
      <c r="I8" s="70"/>
      <c r="J8" s="70"/>
      <c r="K8" s="71"/>
      <c r="L8" s="72"/>
      <c r="M8" s="72"/>
      <c r="N8" s="98"/>
      <c r="O8" s="72"/>
      <c r="P8" s="72"/>
      <c r="Q8" s="72"/>
      <c r="R8" s="72"/>
    </row>
    <row r="9" ht="17.6" spans="1:18">
      <c r="A9" s="17"/>
      <c r="B9" s="17"/>
      <c r="C9" s="17"/>
      <c r="D9" s="17"/>
      <c r="E9" s="33" t="s">
        <v>18</v>
      </c>
      <c r="F9" s="34"/>
      <c r="G9" s="35" t="s">
        <v>19</v>
      </c>
      <c r="H9" s="36"/>
      <c r="I9" s="70"/>
      <c r="J9" s="70"/>
      <c r="K9" s="71"/>
      <c r="L9" s="72"/>
      <c r="M9" s="72"/>
      <c r="N9" s="98"/>
      <c r="O9" s="72"/>
      <c r="P9" s="72"/>
      <c r="Q9" s="72"/>
      <c r="R9" s="72"/>
    </row>
    <row r="10" ht="34.05" customHeight="1" spans="1:15">
      <c r="A10" s="18" t="s">
        <v>20</v>
      </c>
      <c r="B10" s="19" t="s">
        <v>21</v>
      </c>
      <c r="C10" s="20" t="s">
        <v>22</v>
      </c>
      <c r="D10" s="20" t="s">
        <v>23</v>
      </c>
      <c r="E10" s="45" t="s">
        <v>24</v>
      </c>
      <c r="F10" s="46" t="s">
        <v>25</v>
      </c>
      <c r="G10" s="47" t="s">
        <v>26</v>
      </c>
      <c r="H10" s="48" t="s">
        <v>27</v>
      </c>
      <c r="I10" s="83" t="s">
        <v>28</v>
      </c>
      <c r="J10" s="83" t="s">
        <v>29</v>
      </c>
      <c r="K10" s="71"/>
      <c r="L10" s="72"/>
      <c r="M10" s="72"/>
      <c r="N10" s="98"/>
      <c r="O10" s="72"/>
    </row>
    <row r="11" s="1" customFormat="1" ht="16.05" customHeight="1" spans="1:16">
      <c r="A11" s="21"/>
      <c r="B11" s="21" t="s">
        <v>30</v>
      </c>
      <c r="C11" s="21" t="s">
        <v>31</v>
      </c>
      <c r="D11" s="22">
        <v>12.5</v>
      </c>
      <c r="E11" s="49">
        <v>70</v>
      </c>
      <c r="F11" s="50">
        <v>1.29496402877698</v>
      </c>
      <c r="G11" s="51">
        <f>F11*E11*D11</f>
        <v>1133.09352517986</v>
      </c>
      <c r="H11" s="52">
        <f>E11*D11</f>
        <v>875</v>
      </c>
      <c r="I11" s="84">
        <v>16</v>
      </c>
      <c r="J11" s="21" t="s">
        <v>32</v>
      </c>
      <c r="K11" s="71"/>
      <c r="L11" s="72"/>
      <c r="M11" s="72"/>
      <c r="N11" s="98"/>
      <c r="O11" s="72"/>
      <c r="P11" s="102"/>
    </row>
    <row r="12" s="1" customFormat="1" ht="16.05" customHeight="1" spans="1:16">
      <c r="A12" s="23"/>
      <c r="B12" s="23"/>
      <c r="C12" s="23"/>
      <c r="D12" s="22">
        <v>15</v>
      </c>
      <c r="E12" s="49">
        <v>70</v>
      </c>
      <c r="F12" s="50">
        <v>1.29496402877698</v>
      </c>
      <c r="G12" s="51">
        <f t="shared" ref="G12:G20" si="0">F12*E12*D12</f>
        <v>1359.71223021583</v>
      </c>
      <c r="H12" s="52">
        <f>E12*D12</f>
        <v>1050</v>
      </c>
      <c r="I12" s="85"/>
      <c r="J12" s="23"/>
      <c r="K12" s="71"/>
      <c r="L12" s="72"/>
      <c r="M12" s="72"/>
      <c r="N12" s="98"/>
      <c r="O12" s="72"/>
      <c r="P12" s="102"/>
    </row>
    <row r="13" s="1" customFormat="1" ht="16.05" customHeight="1" spans="1:16">
      <c r="A13" s="23"/>
      <c r="B13" s="23"/>
      <c r="C13" s="23"/>
      <c r="D13" s="22">
        <v>17.5</v>
      </c>
      <c r="E13" s="49">
        <v>70</v>
      </c>
      <c r="F13" s="50">
        <v>1.29496402877698</v>
      </c>
      <c r="G13" s="51">
        <f t="shared" si="0"/>
        <v>1586.3309352518</v>
      </c>
      <c r="H13" s="52">
        <f>E13*D13</f>
        <v>1225</v>
      </c>
      <c r="I13" s="85"/>
      <c r="J13" s="23"/>
      <c r="K13" s="71"/>
      <c r="L13" s="72"/>
      <c r="M13" s="72"/>
      <c r="N13" s="98"/>
      <c r="O13" s="72"/>
      <c r="P13" s="102"/>
    </row>
    <row r="14" s="1" customFormat="1" ht="16.05" customHeight="1" spans="1:16">
      <c r="A14" s="23"/>
      <c r="B14" s="23"/>
      <c r="C14" s="23"/>
      <c r="D14" s="22">
        <v>20</v>
      </c>
      <c r="E14" s="49">
        <v>70</v>
      </c>
      <c r="F14" s="50">
        <v>1.29496402877698</v>
      </c>
      <c r="G14" s="51">
        <f t="shared" si="0"/>
        <v>1812.94964028777</v>
      </c>
      <c r="H14" s="52">
        <f>E14*D14</f>
        <v>1400</v>
      </c>
      <c r="I14" s="85"/>
      <c r="J14" s="23"/>
      <c r="K14" s="71"/>
      <c r="L14" s="72"/>
      <c r="M14" s="72"/>
      <c r="N14" s="98"/>
      <c r="O14" s="72"/>
      <c r="P14" s="102"/>
    </row>
    <row r="15" s="1" customFormat="1" ht="16.05" customHeight="1" spans="1:16">
      <c r="A15" s="23"/>
      <c r="B15" s="23"/>
      <c r="C15" s="23"/>
      <c r="D15" s="22">
        <v>22.5</v>
      </c>
      <c r="E15" s="49">
        <v>70</v>
      </c>
      <c r="F15" s="50">
        <v>1.29496402877698</v>
      </c>
      <c r="G15" s="51">
        <f t="shared" si="0"/>
        <v>2039.56834532374</v>
      </c>
      <c r="H15" s="52">
        <f t="shared" ref="H15:H30" si="1">E15*D15</f>
        <v>1575</v>
      </c>
      <c r="I15" s="85"/>
      <c r="J15" s="23"/>
      <c r="K15" s="71"/>
      <c r="L15" s="72"/>
      <c r="M15" s="72"/>
      <c r="N15" s="98"/>
      <c r="O15" s="72"/>
      <c r="P15" s="102"/>
    </row>
    <row r="16" s="1" customFormat="1" ht="16.05" customHeight="1" spans="1:16">
      <c r="A16" s="23"/>
      <c r="B16" s="23"/>
      <c r="C16" s="23"/>
      <c r="D16" s="22">
        <v>25</v>
      </c>
      <c r="E16" s="49">
        <v>70</v>
      </c>
      <c r="F16" s="50">
        <v>1.29496402877698</v>
      </c>
      <c r="G16" s="51">
        <f t="shared" si="0"/>
        <v>2266.18705035972</v>
      </c>
      <c r="H16" s="52">
        <f t="shared" si="1"/>
        <v>1750</v>
      </c>
      <c r="I16" s="85"/>
      <c r="J16" s="23"/>
      <c r="K16" s="71"/>
      <c r="L16" s="72"/>
      <c r="M16" s="72"/>
      <c r="N16" s="98"/>
      <c r="O16" s="72"/>
      <c r="P16" s="102"/>
    </row>
    <row r="17" s="1" customFormat="1" ht="16.05" customHeight="1" spans="1:16">
      <c r="A17" s="23"/>
      <c r="B17" s="23"/>
      <c r="C17" s="23"/>
      <c r="D17" s="22">
        <v>27.5</v>
      </c>
      <c r="E17" s="49">
        <v>70</v>
      </c>
      <c r="F17" s="50">
        <v>1.29496402877698</v>
      </c>
      <c r="G17" s="51">
        <f t="shared" si="0"/>
        <v>2492.80575539569</v>
      </c>
      <c r="H17" s="52">
        <f t="shared" si="1"/>
        <v>1925</v>
      </c>
      <c r="I17" s="85"/>
      <c r="J17" s="23"/>
      <c r="K17" s="71"/>
      <c r="L17" s="72"/>
      <c r="M17" s="72"/>
      <c r="N17" s="98"/>
      <c r="O17" s="72"/>
      <c r="P17" s="102"/>
    </row>
    <row r="18" s="1" customFormat="1" ht="16.05" customHeight="1" spans="1:16">
      <c r="A18" s="23"/>
      <c r="B18" s="23"/>
      <c r="C18" s="23"/>
      <c r="D18" s="22">
        <v>30</v>
      </c>
      <c r="E18" s="49">
        <v>70</v>
      </c>
      <c r="F18" s="50">
        <v>1.29496402877698</v>
      </c>
      <c r="G18" s="51">
        <f t="shared" si="0"/>
        <v>2719.42446043166</v>
      </c>
      <c r="H18" s="52">
        <f t="shared" si="1"/>
        <v>2100</v>
      </c>
      <c r="I18" s="85"/>
      <c r="J18" s="23"/>
      <c r="K18" s="71"/>
      <c r="L18" s="72"/>
      <c r="M18" s="72"/>
      <c r="N18" s="98"/>
      <c r="O18" s="72"/>
      <c r="P18" s="102"/>
    </row>
    <row r="19" s="1" customFormat="1" ht="16.05" customHeight="1" spans="1:16">
      <c r="A19" s="23"/>
      <c r="B19" s="23"/>
      <c r="C19" s="23"/>
      <c r="D19" s="22">
        <v>32.5</v>
      </c>
      <c r="E19" s="49">
        <v>70</v>
      </c>
      <c r="F19" s="50">
        <v>1.29496402877698</v>
      </c>
      <c r="G19" s="51">
        <f t="shared" si="0"/>
        <v>2946.04316546763</v>
      </c>
      <c r="H19" s="52">
        <f t="shared" si="1"/>
        <v>2275</v>
      </c>
      <c r="I19" s="85"/>
      <c r="J19" s="23"/>
      <c r="K19" s="71"/>
      <c r="L19" s="72"/>
      <c r="M19" s="72"/>
      <c r="N19" s="98"/>
      <c r="O19" s="72"/>
      <c r="P19" s="102"/>
    </row>
    <row r="20" s="1" customFormat="1" ht="16.05" customHeight="1" spans="1:16">
      <c r="A20" s="23"/>
      <c r="B20" s="23"/>
      <c r="C20" s="23"/>
      <c r="D20" s="22">
        <v>35</v>
      </c>
      <c r="E20" s="49">
        <v>70</v>
      </c>
      <c r="F20" s="50">
        <v>1.29496402877698</v>
      </c>
      <c r="G20" s="51">
        <f t="shared" si="0"/>
        <v>3172.6618705036</v>
      </c>
      <c r="H20" s="52">
        <f t="shared" si="1"/>
        <v>2450</v>
      </c>
      <c r="I20" s="85"/>
      <c r="J20" s="23"/>
      <c r="K20" s="71"/>
      <c r="L20" s="72"/>
      <c r="M20" s="72"/>
      <c r="N20" s="98"/>
      <c r="O20" s="72"/>
      <c r="P20" s="102"/>
    </row>
    <row r="21" s="1" customFormat="1" ht="21" customHeight="1" spans="1:15">
      <c r="A21" s="24"/>
      <c r="B21" s="24" t="s">
        <v>33</v>
      </c>
      <c r="C21" s="24" t="s">
        <v>34</v>
      </c>
      <c r="D21" s="22">
        <v>10</v>
      </c>
      <c r="E21" s="49">
        <v>10</v>
      </c>
      <c r="F21" s="50">
        <v>1.41007194244604</v>
      </c>
      <c r="G21" s="51">
        <f t="shared" ref="G21:G30" si="2">D21*E21*F21</f>
        <v>141.007194244604</v>
      </c>
      <c r="H21" s="52">
        <f t="shared" si="1"/>
        <v>100</v>
      </c>
      <c r="I21" s="84">
        <v>8</v>
      </c>
      <c r="J21" s="24" t="s">
        <v>32</v>
      </c>
      <c r="K21" s="71"/>
      <c r="L21" s="72"/>
      <c r="M21" s="72"/>
      <c r="N21" s="98"/>
      <c r="O21" s="72"/>
    </row>
    <row r="22" s="1" customFormat="1" ht="21" customHeight="1" spans="1:15">
      <c r="A22" s="24"/>
      <c r="B22" s="24"/>
      <c r="C22" s="24"/>
      <c r="D22" s="22">
        <v>15</v>
      </c>
      <c r="E22" s="49">
        <v>10</v>
      </c>
      <c r="F22" s="50">
        <v>1.41007194244604</v>
      </c>
      <c r="G22" s="51">
        <f t="shared" si="2"/>
        <v>211.510791366906</v>
      </c>
      <c r="H22" s="52">
        <f t="shared" si="1"/>
        <v>150</v>
      </c>
      <c r="I22" s="85"/>
      <c r="J22" s="24" t="s">
        <v>32</v>
      </c>
      <c r="K22" s="71"/>
      <c r="L22" s="72"/>
      <c r="M22" s="72"/>
      <c r="N22" s="98"/>
      <c r="O22" s="72"/>
    </row>
    <row r="23" s="1" customFormat="1" ht="21" customHeight="1" spans="1:15">
      <c r="A23" s="24"/>
      <c r="B23" s="24"/>
      <c r="C23" s="24"/>
      <c r="D23" s="22">
        <v>20</v>
      </c>
      <c r="E23" s="49">
        <v>10</v>
      </c>
      <c r="F23" s="50">
        <v>1.41007194244604</v>
      </c>
      <c r="G23" s="51">
        <f t="shared" si="2"/>
        <v>282.014388489208</v>
      </c>
      <c r="H23" s="52">
        <f t="shared" si="1"/>
        <v>200</v>
      </c>
      <c r="I23" s="85"/>
      <c r="J23" s="24" t="s">
        <v>32</v>
      </c>
      <c r="K23" s="71"/>
      <c r="L23" s="72"/>
      <c r="M23" s="72"/>
      <c r="N23" s="98"/>
      <c r="O23" s="72"/>
    </row>
    <row r="24" s="1" customFormat="1" ht="21" customHeight="1" spans="1:15">
      <c r="A24" s="24"/>
      <c r="B24" s="24"/>
      <c r="C24" s="24"/>
      <c r="D24" s="22">
        <v>25</v>
      </c>
      <c r="E24" s="49">
        <v>10</v>
      </c>
      <c r="F24" s="50">
        <v>1.41007194244604</v>
      </c>
      <c r="G24" s="51">
        <f t="shared" si="2"/>
        <v>352.51798561151</v>
      </c>
      <c r="H24" s="52">
        <f t="shared" si="1"/>
        <v>250</v>
      </c>
      <c r="I24" s="85"/>
      <c r="J24" s="24" t="s">
        <v>32</v>
      </c>
      <c r="K24" s="71"/>
      <c r="L24" s="72"/>
      <c r="M24" s="72"/>
      <c r="N24" s="98"/>
      <c r="O24" s="72"/>
    </row>
    <row r="25" s="1" customFormat="1" ht="21" customHeight="1" spans="1:15">
      <c r="A25" s="24"/>
      <c r="B25" s="24"/>
      <c r="C25" s="24"/>
      <c r="D25" s="22">
        <v>30</v>
      </c>
      <c r="E25" s="49">
        <v>10</v>
      </c>
      <c r="F25" s="50">
        <v>1.41007194244604</v>
      </c>
      <c r="G25" s="51">
        <f t="shared" si="2"/>
        <v>423.021582733812</v>
      </c>
      <c r="H25" s="52">
        <f t="shared" si="1"/>
        <v>300</v>
      </c>
      <c r="I25" s="85"/>
      <c r="J25" s="24" t="s">
        <v>32</v>
      </c>
      <c r="K25" s="71"/>
      <c r="L25" s="72"/>
      <c r="M25" s="72"/>
      <c r="N25" s="98"/>
      <c r="O25" s="72"/>
    </row>
    <row r="26" s="1" customFormat="1" ht="21" customHeight="1" spans="1:15">
      <c r="A26" s="24"/>
      <c r="B26" s="24" t="s">
        <v>33</v>
      </c>
      <c r="C26" s="24" t="s">
        <v>35</v>
      </c>
      <c r="D26" s="22">
        <v>10</v>
      </c>
      <c r="E26" s="49">
        <v>10</v>
      </c>
      <c r="F26" s="50">
        <v>1.41007194244604</v>
      </c>
      <c r="G26" s="51">
        <f t="shared" si="2"/>
        <v>141.007194244604</v>
      </c>
      <c r="H26" s="52">
        <f t="shared" si="1"/>
        <v>100</v>
      </c>
      <c r="I26" s="85"/>
      <c r="J26" s="24" t="s">
        <v>32</v>
      </c>
      <c r="K26" s="71"/>
      <c r="L26" s="72"/>
      <c r="M26" s="72"/>
      <c r="N26" s="98"/>
      <c r="O26" s="72"/>
    </row>
    <row r="27" s="1" customFormat="1" ht="21" customHeight="1" spans="1:15">
      <c r="A27" s="24"/>
      <c r="B27" s="24"/>
      <c r="C27" s="24"/>
      <c r="D27" s="22">
        <v>15</v>
      </c>
      <c r="E27" s="49">
        <v>10</v>
      </c>
      <c r="F27" s="50">
        <v>1.41007194244604</v>
      </c>
      <c r="G27" s="51">
        <f t="shared" si="2"/>
        <v>211.510791366906</v>
      </c>
      <c r="H27" s="52">
        <f t="shared" si="1"/>
        <v>150</v>
      </c>
      <c r="I27" s="85"/>
      <c r="J27" s="24"/>
      <c r="K27" s="71"/>
      <c r="L27" s="72"/>
      <c r="M27" s="72"/>
      <c r="N27" s="98"/>
      <c r="O27" s="72"/>
    </row>
    <row r="28" s="1" customFormat="1" ht="21" customHeight="1" spans="1:15">
      <c r="A28" s="24"/>
      <c r="B28" s="24"/>
      <c r="C28" s="24"/>
      <c r="D28" s="22">
        <v>20</v>
      </c>
      <c r="E28" s="49">
        <v>10</v>
      </c>
      <c r="F28" s="50">
        <v>1.41007194244604</v>
      </c>
      <c r="G28" s="51">
        <f t="shared" si="2"/>
        <v>282.014388489208</v>
      </c>
      <c r="H28" s="52">
        <f t="shared" si="1"/>
        <v>200</v>
      </c>
      <c r="I28" s="85"/>
      <c r="J28" s="24"/>
      <c r="K28" s="71"/>
      <c r="L28" s="72"/>
      <c r="M28" s="72"/>
      <c r="N28" s="98"/>
      <c r="O28" s="72"/>
    </row>
    <row r="29" s="1" customFormat="1" ht="21" customHeight="1" spans="1:15">
      <c r="A29" s="24"/>
      <c r="B29" s="24"/>
      <c r="C29" s="24"/>
      <c r="D29" s="22">
        <v>25</v>
      </c>
      <c r="E29" s="49">
        <v>10</v>
      </c>
      <c r="F29" s="50">
        <v>1.41007194244604</v>
      </c>
      <c r="G29" s="51">
        <f t="shared" si="2"/>
        <v>352.51798561151</v>
      </c>
      <c r="H29" s="52">
        <f t="shared" si="1"/>
        <v>250</v>
      </c>
      <c r="I29" s="85"/>
      <c r="J29" s="24"/>
      <c r="K29" s="71"/>
      <c r="L29" s="72"/>
      <c r="M29" s="72"/>
      <c r="N29" s="98"/>
      <c r="O29" s="72"/>
    </row>
    <row r="30" s="1" customFormat="1" ht="21" customHeight="1" spans="1:15">
      <c r="A30" s="24"/>
      <c r="B30" s="24"/>
      <c r="C30" s="24"/>
      <c r="D30" s="22">
        <v>30</v>
      </c>
      <c r="E30" s="49">
        <v>10</v>
      </c>
      <c r="F30" s="50">
        <v>1.41007194244604</v>
      </c>
      <c r="G30" s="51">
        <f t="shared" si="2"/>
        <v>423.021582733812</v>
      </c>
      <c r="H30" s="52">
        <f t="shared" si="1"/>
        <v>300</v>
      </c>
      <c r="I30" s="86"/>
      <c r="J30" s="24"/>
      <c r="K30" s="71"/>
      <c r="L30" s="72"/>
      <c r="M30" s="72"/>
      <c r="N30" s="98"/>
      <c r="O30" s="72"/>
    </row>
    <row r="31" s="2" customFormat="1" ht="147" customHeight="1" spans="1:15">
      <c r="A31" s="24"/>
      <c r="B31" s="24" t="s">
        <v>36</v>
      </c>
      <c r="C31" s="24" t="s">
        <v>37</v>
      </c>
      <c r="D31" s="25" t="s">
        <v>38</v>
      </c>
      <c r="E31" s="49">
        <v>10</v>
      </c>
      <c r="F31" s="53">
        <v>113.669064748201</v>
      </c>
      <c r="G31" s="54">
        <f>F31*E31</f>
        <v>1136.69064748201</v>
      </c>
      <c r="H31" s="52">
        <f>58*E31</f>
        <v>580</v>
      </c>
      <c r="I31" s="87">
        <f>E31*0.32</f>
        <v>3.2</v>
      </c>
      <c r="J31" s="88" t="s">
        <v>32</v>
      </c>
      <c r="K31" s="71"/>
      <c r="L31" s="72"/>
      <c r="M31" s="1"/>
      <c r="N31" s="1"/>
      <c r="O31" s="1"/>
    </row>
    <row r="32" s="3" customFormat="1" ht="31.05" customHeight="1" spans="1:11">
      <c r="A32" s="26" t="s">
        <v>39</v>
      </c>
      <c r="B32" s="26"/>
      <c r="C32" s="26"/>
      <c r="D32" s="26"/>
      <c r="E32" s="55"/>
      <c r="F32" s="26"/>
      <c r="G32" s="56">
        <f>SUM(G11:G31)</f>
        <v>25485.6115107914</v>
      </c>
      <c r="H32" s="52">
        <f>SUM(H11:H31)</f>
        <v>19205</v>
      </c>
      <c r="I32" s="87">
        <f>SUM(I11:I31)</f>
        <v>27.2</v>
      </c>
      <c r="J32" s="89"/>
      <c r="K32" s="13"/>
    </row>
    <row r="33" s="3" customFormat="1" ht="31.05" customHeight="1" spans="1:11">
      <c r="A33" s="26" t="s">
        <v>40</v>
      </c>
      <c r="B33" s="26"/>
      <c r="C33" s="26"/>
      <c r="D33" s="26"/>
      <c r="E33" s="55"/>
      <c r="F33" s="26"/>
      <c r="G33" s="56">
        <f>G32*0.3</f>
        <v>7645.68345323741</v>
      </c>
      <c r="H33" s="52"/>
      <c r="I33" s="87"/>
      <c r="J33" s="89"/>
      <c r="K33" s="13"/>
    </row>
    <row r="34" s="3" customFormat="1" ht="31.05" customHeight="1" spans="1:11">
      <c r="A34" s="26" t="s">
        <v>41</v>
      </c>
      <c r="B34" s="26"/>
      <c r="C34" s="26"/>
      <c r="D34" s="26"/>
      <c r="E34" s="55"/>
      <c r="F34" s="26"/>
      <c r="G34" s="56">
        <f>G32-G33</f>
        <v>17839.928057554</v>
      </c>
      <c r="H34" s="52"/>
      <c r="I34" s="87"/>
      <c r="J34" s="89"/>
      <c r="K34" s="13"/>
    </row>
    <row r="35" ht="20.4" spans="1:42">
      <c r="A35" s="27" t="s">
        <v>42</v>
      </c>
      <c r="B35" s="27"/>
      <c r="C35" s="27"/>
      <c r="D35" s="27"/>
      <c r="E35" s="57"/>
      <c r="F35" s="27"/>
      <c r="G35" s="58"/>
      <c r="H35" s="59"/>
      <c r="I35" s="90"/>
      <c r="J35" s="91"/>
      <c r="K35" s="92"/>
      <c r="L35" s="93"/>
      <c r="M35" s="93"/>
      <c r="N35" s="93"/>
      <c r="O35" s="93"/>
      <c r="P35" s="103"/>
      <c r="Q35" s="103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3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</row>
    <row r="36" ht="20.4" spans="1:42">
      <c r="A36" s="28" t="s">
        <v>43</v>
      </c>
      <c r="B36" s="28"/>
      <c r="C36" s="28"/>
      <c r="D36" s="28"/>
      <c r="E36" s="60"/>
      <c r="F36" s="28"/>
      <c r="G36" s="61"/>
      <c r="H36" s="62"/>
      <c r="I36" s="94"/>
      <c r="J36" s="95"/>
      <c r="K36" s="92"/>
      <c r="L36" s="93"/>
      <c r="M36" s="93"/>
      <c r="N36" s="93"/>
      <c r="O36" s="93"/>
      <c r="P36" s="103"/>
      <c r="Q36" s="103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3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</row>
    <row r="37" ht="20.4" spans="1:42">
      <c r="A37" s="28" t="s">
        <v>44</v>
      </c>
      <c r="B37" s="28"/>
      <c r="C37" s="28"/>
      <c r="D37" s="28"/>
      <c r="E37" s="60"/>
      <c r="F37" s="28"/>
      <c r="G37" s="61"/>
      <c r="H37" s="62"/>
      <c r="I37" s="94"/>
      <c r="J37" s="95"/>
      <c r="K37" s="92"/>
      <c r="L37" s="93"/>
      <c r="M37" s="93"/>
      <c r="N37" s="93"/>
      <c r="O37" s="93"/>
      <c r="P37" s="103"/>
      <c r="Q37" s="103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3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</row>
    <row r="38" ht="20.4" spans="1:42">
      <c r="A38" s="28" t="s">
        <v>45</v>
      </c>
      <c r="B38" s="28"/>
      <c r="C38" s="28"/>
      <c r="D38" s="28"/>
      <c r="E38" s="60"/>
      <c r="F38" s="28"/>
      <c r="G38" s="61"/>
      <c r="H38" s="62"/>
      <c r="I38" s="94"/>
      <c r="J38" s="95"/>
      <c r="K38" s="92"/>
      <c r="L38" s="93"/>
      <c r="M38" s="93"/>
      <c r="N38" s="93"/>
      <c r="O38" s="93"/>
      <c r="P38" s="103"/>
      <c r="Q38" s="103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3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</row>
    <row r="39" ht="20.4" spans="1:42">
      <c r="A39" s="28" t="s">
        <v>46</v>
      </c>
      <c r="B39" s="28"/>
      <c r="C39" s="28"/>
      <c r="D39" s="28"/>
      <c r="E39" s="60"/>
      <c r="F39" s="28"/>
      <c r="G39" s="61"/>
      <c r="H39" s="62"/>
      <c r="I39" s="94"/>
      <c r="J39" s="95"/>
      <c r="K39" s="92"/>
      <c r="L39" s="93"/>
      <c r="M39" s="93"/>
      <c r="N39" s="93"/>
      <c r="O39" s="93"/>
      <c r="P39" s="103"/>
      <c r="Q39" s="103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3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</row>
    <row r="40" ht="20.4" spans="1:42">
      <c r="A40" s="28" t="s">
        <v>47</v>
      </c>
      <c r="B40" s="28"/>
      <c r="C40" s="28"/>
      <c r="D40" s="28"/>
      <c r="E40" s="60"/>
      <c r="F40" s="28"/>
      <c r="G40" s="61"/>
      <c r="H40" s="62"/>
      <c r="I40" s="94"/>
      <c r="J40" s="95"/>
      <c r="K40" s="92"/>
      <c r="L40" s="93"/>
      <c r="M40" s="93"/>
      <c r="N40" s="93"/>
      <c r="O40" s="93"/>
      <c r="P40" s="103"/>
      <c r="Q40" s="103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3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</row>
    <row r="41" ht="20.4" spans="1:42">
      <c r="A41" s="28" t="s">
        <v>48</v>
      </c>
      <c r="B41" s="28"/>
      <c r="C41" s="28"/>
      <c r="D41" s="28"/>
      <c r="E41" s="60"/>
      <c r="F41" s="28"/>
      <c r="G41" s="61"/>
      <c r="H41" s="62"/>
      <c r="I41" s="94"/>
      <c r="J41" s="95"/>
      <c r="K41" s="92"/>
      <c r="L41" s="93"/>
      <c r="M41" s="93"/>
      <c r="N41" s="93"/>
      <c r="O41" s="93"/>
      <c r="P41" s="103"/>
      <c r="Q41" s="103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3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</row>
    <row r="42" ht="20.4" spans="1:42">
      <c r="A42" s="29" t="s">
        <v>49</v>
      </c>
      <c r="B42" s="30"/>
      <c r="C42" s="30"/>
      <c r="D42" s="31"/>
      <c r="E42" s="63"/>
      <c r="F42" s="64" t="s">
        <v>50</v>
      </c>
      <c r="G42" s="65"/>
      <c r="H42" s="66"/>
      <c r="I42" s="96"/>
      <c r="J42" s="97"/>
      <c r="K42" s="92"/>
      <c r="L42" s="93"/>
      <c r="M42" s="93"/>
      <c r="N42" s="93"/>
      <c r="O42" s="93"/>
      <c r="P42" s="103"/>
      <c r="Q42" s="103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3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</row>
    <row r="43" ht="20.4" spans="1:42">
      <c r="A43" s="30" t="s">
        <v>51</v>
      </c>
      <c r="B43" s="30"/>
      <c r="C43" s="31"/>
      <c r="D43" s="31"/>
      <c r="E43" s="63"/>
      <c r="F43" s="64" t="s">
        <v>51</v>
      </c>
      <c r="G43" s="65"/>
      <c r="H43" s="66"/>
      <c r="I43" s="96"/>
      <c r="J43" s="97"/>
      <c r="K43" s="92"/>
      <c r="L43" s="93"/>
      <c r="M43" s="93"/>
      <c r="N43" s="93"/>
      <c r="O43" s="93"/>
      <c r="P43" s="103"/>
      <c r="Q43" s="103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3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</row>
    <row r="44" ht="20.4" spans="1:42">
      <c r="A44" s="30" t="s">
        <v>52</v>
      </c>
      <c r="B44" s="30"/>
      <c r="C44" s="30"/>
      <c r="D44" s="30"/>
      <c r="E44" s="67"/>
      <c r="F44" s="68" t="s">
        <v>52</v>
      </c>
      <c r="G44" s="65"/>
      <c r="H44" s="66"/>
      <c r="I44" s="96"/>
      <c r="J44" s="97"/>
      <c r="K44" s="92"/>
      <c r="L44" s="93"/>
      <c r="M44" s="93"/>
      <c r="N44" s="93"/>
      <c r="O44" s="93"/>
      <c r="P44" s="103"/>
      <c r="Q44" s="103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3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  <c r="AN44" s="105"/>
      <c r="AO44" s="105"/>
      <c r="AP44" s="105"/>
    </row>
    <row r="46" s="4" customFormat="1" ht="85.05" customHeight="1" spans="1:15">
      <c r="A46" s="24"/>
      <c r="B46" s="24" t="s">
        <v>53</v>
      </c>
      <c r="C46" s="24" t="s">
        <v>54</v>
      </c>
      <c r="D46" s="32" t="s">
        <v>55</v>
      </c>
      <c r="E46" s="49">
        <v>27</v>
      </c>
      <c r="F46" s="69">
        <v>120.5</v>
      </c>
      <c r="G46" s="54">
        <f>F46*E46</f>
        <v>3253.5</v>
      </c>
      <c r="H46" s="52">
        <f>58*E46</f>
        <v>1566</v>
      </c>
      <c r="I46" s="87">
        <f>0.193*E46</f>
        <v>5.211</v>
      </c>
      <c r="J46" s="88" t="s">
        <v>32</v>
      </c>
      <c r="K46" s="71"/>
      <c r="L46" s="72"/>
      <c r="M46" s="72"/>
      <c r="N46" s="98"/>
      <c r="O46" s="72"/>
    </row>
  </sheetData>
  <mergeCells count="52">
    <mergeCell ref="E1:F1"/>
    <mergeCell ref="G1:J1"/>
    <mergeCell ref="E2:F2"/>
    <mergeCell ref="G2:J2"/>
    <mergeCell ref="E3:F3"/>
    <mergeCell ref="G3:J3"/>
    <mergeCell ref="E4:F4"/>
    <mergeCell ref="G4:J4"/>
    <mergeCell ref="A5:D5"/>
    <mergeCell ref="E5:F5"/>
    <mergeCell ref="G5:J5"/>
    <mergeCell ref="E6:F6"/>
    <mergeCell ref="G6:J6"/>
    <mergeCell ref="E7:F7"/>
    <mergeCell ref="G7:J7"/>
    <mergeCell ref="E8:F8"/>
    <mergeCell ref="G8:J8"/>
    <mergeCell ref="E9:F9"/>
    <mergeCell ref="G9:J9"/>
    <mergeCell ref="A32:F32"/>
    <mergeCell ref="A33:F33"/>
    <mergeCell ref="A34:F34"/>
    <mergeCell ref="A35:J35"/>
    <mergeCell ref="A36:J36"/>
    <mergeCell ref="A37:J37"/>
    <mergeCell ref="A38:J38"/>
    <mergeCell ref="A39:J39"/>
    <mergeCell ref="A40:J40"/>
    <mergeCell ref="A41:J41"/>
    <mergeCell ref="A42:C42"/>
    <mergeCell ref="D42:E42"/>
    <mergeCell ref="A43:B43"/>
    <mergeCell ref="D43:E43"/>
    <mergeCell ref="A44:B44"/>
    <mergeCell ref="F44:H44"/>
    <mergeCell ref="A11:A20"/>
    <mergeCell ref="A21:A25"/>
    <mergeCell ref="A26:A30"/>
    <mergeCell ref="B11:B20"/>
    <mergeCell ref="B21:B25"/>
    <mergeCell ref="B26:B30"/>
    <mergeCell ref="C11:C20"/>
    <mergeCell ref="C21:C25"/>
    <mergeCell ref="C26:C30"/>
    <mergeCell ref="I11:I20"/>
    <mergeCell ref="I21:I30"/>
    <mergeCell ref="J11:J20"/>
    <mergeCell ref="J21:J25"/>
    <mergeCell ref="J26:J30"/>
    <mergeCell ref="A1:D4"/>
    <mergeCell ref="A6:D7"/>
    <mergeCell ref="A8:D9"/>
  </mergeCells>
  <dataValidations count="1">
    <dataValidation type="list" allowBlank="1" showInputMessage="1" showErrorMessage="1" sqref="G7:H7">
      <formula1>"20%+80%T/T,30%+70%T/T,100%T/T,20%T/T+80%LC,30%T/T+70%LC,100%Paypal,100%Western Union,OTHERS"</formula1>
    </dataValidation>
  </dataValidations>
  <printOptions horizontalCentered="1"/>
  <pageMargins left="0.118055555555556" right="0.118055555555556" top="0.196527777777778" bottom="0.196527777777778" header="0.118055555555556" footer="0.118055555555556"/>
  <pageSetup paperSize="9" scale="46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吱吱嘎嘎</cp:lastModifiedBy>
  <dcterms:created xsi:type="dcterms:W3CDTF">2017-12-15T00:01:00Z</dcterms:created>
  <cp:lastPrinted>2021-04-30T10:53:00Z</cp:lastPrinted>
  <dcterms:modified xsi:type="dcterms:W3CDTF">2025-11-18T15:47:28Z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2052-12.1.22522.22522</vt:lpwstr>
  </property>
  <property fmtid="{D5CDD505-2E9C-101B-9397-08002B2CF9AE}" pid="3" name="ICV">
    <vt:lpwstr>FC8EEF70F0CFC5C24EB60C691DB9AE17_43</vt:lpwstr>
  </property>
</Properties>
</file>