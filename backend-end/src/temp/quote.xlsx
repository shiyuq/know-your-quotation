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ation" state="visible" r:id="rId4"/>
  </sheets>
  <calcPr calcId="171027"/>
</workbook>
</file>

<file path=xl/sharedStrings.xml><?xml version="1.0" encoding="utf-8"?>
<sst xmlns="http://schemas.openxmlformats.org/spreadsheetml/2006/main" count="60" uniqueCount="58">
  <si>
    <t>Nantong OK Sporting Co.,ltd</t>
  </si>
  <si>
    <t>INVOICE NO:</t>
  </si>
  <si>
    <t>2WEDL5144LXC</t>
  </si>
  <si>
    <t>此列使用后需删除</t>
  </si>
  <si>
    <t>REVISION:</t>
  </si>
  <si>
    <t>0</t>
  </si>
  <si>
    <t>INVOICE DATE:</t>
  </si>
  <si>
    <t>2025/11/19</t>
  </si>
  <si>
    <t>TO:</t>
  </si>
  <si>
    <t xml:space="preserve">Sold To / Importer:FOCUS COMERCIAL IMPORTADORA E EXPORTADORA LTDA
RUA LAURO MULLER,NR.567,ROOM 02,CENTER CEP88301-400,ITAJAISC-BRAZI CNP]11.234.477/0001-58</t>
  </si>
  <si>
    <t>Tel: 0086-0513-81067596  FAX: 0086-0513-81067595</t>
  </si>
  <si>
    <t>ATTN:</t>
  </si>
  <si>
    <t xml:space="preserve">Ship To /Customer:ROPE STORE LTDA
ADD:RUA JOSE PEREIRA LIBERATO,1710,GALPAO 5,SAO JOAO-CITY:ITAJAI-SC CEP:88.304-401CNPJ:194370650001-27</t>
  </si>
  <si>
    <t>1114, A3 Office Building, Wanda Plaza, No. 8 Shennan Road, Gangzha District, Nantong City</t>
  </si>
  <si>
    <t>TRADE TERM:</t>
  </si>
  <si>
    <t>FOB NANTONG</t>
  </si>
  <si>
    <t>PAYMENT TERM:</t>
  </si>
  <si>
    <t>30%+70%T/T</t>
  </si>
  <si>
    <t>PROFORMA INVOICE</t>
  </si>
  <si>
    <t>LOAD PORT:</t>
  </si>
  <si>
    <t>Nantong, China</t>
  </si>
  <si>
    <t>DESTINATION:</t>
  </si>
  <si>
    <t>请填写目的地的</t>
  </si>
  <si>
    <t>PICTURE</t>
  </si>
  <si>
    <t>ITEM No.</t>
  </si>
  <si>
    <t>ITEM NAME</t>
  </si>
  <si>
    <t>Size</t>
  </si>
  <si>
    <t>QTY</t>
  </si>
  <si>
    <t>UNIT PRICE</t>
  </si>
  <si>
    <t>TOTAL PRICE(USD)</t>
  </si>
  <si>
    <t>TOTAL N.W.(KGS)</t>
  </si>
  <si>
    <t>MEAS.(CBM)</t>
  </si>
  <si>
    <t>LOGO</t>
  </si>
  <si>
    <t>成本(核算)</t>
  </si>
  <si>
    <t>OK1224</t>
  </si>
  <si>
    <t xml:space="preserve">1050D 
Nylon cloth, 
No. 10 YKK zipper PP cotton + rubber particles</t>
  </si>
  <si>
    <t>160*30cm</t>
  </si>
  <si>
    <t>300*30cm</t>
  </si>
  <si>
    <t>OK9100B</t>
  </si>
  <si>
    <t>Power Sled</t>
  </si>
  <si>
    <t>Main tube :50*70*2mm</t>
  </si>
  <si>
    <t>OK1013</t>
  </si>
  <si>
    <t>Rubber Hex Dumbbell</t>
  </si>
  <si>
    <t>FOB PRICE:</t>
  </si>
  <si>
    <t>TOTAL:</t>
  </si>
  <si>
    <t>30% deposite:</t>
  </si>
  <si>
    <t>70% balance:</t>
  </si>
  <si>
    <t>Bank Information:</t>
  </si>
  <si>
    <t>Beneficiary: Nantong OK Sporting Co.,ltd</t>
  </si>
  <si>
    <t>Address: 388 Yonghe road,Nantong,jiangsu,China</t>
  </si>
  <si>
    <t>Bank: BANK OF CHINA,NANTONG CITY,CHONGCHUAN SUB-BRANCH</t>
  </si>
  <si>
    <t>Bank Address: NO.100 YUE LONG ROAD NANTONG</t>
  </si>
  <si>
    <t>SWIFT CODE: BKCHCNBJ95G</t>
  </si>
  <si>
    <t>Account No.: 513165040944</t>
  </si>
  <si>
    <t>Buyers:</t>
  </si>
  <si>
    <t>Sellers:</t>
  </si>
  <si>
    <t>Date:</t>
  </si>
  <si>
    <t>AUTHORIZED SIGNATURE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</si>
</sst>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 &quot;pcs&quot;"/>
    <numFmt numFmtId="165" formatCode="$0.00 &quot;/pc&quot;"/>
    <numFmt numFmtId="166" formatCode="&quot;$&quot;#,##0.00;-&quot;$&quot;#,##0.00"/>
    <numFmt numFmtId="167" formatCode="General&quot; kg&quot;"/>
    <numFmt numFmtId="168" formatCode="0.00 &quot;/pc&quot;"/>
    <numFmt numFmtId="169" formatCode="$0.00 &quot;/kg&quot;"/>
    <numFmt numFmtId="170" formatCode="0.00 &quot;/kg&quot;"/>
    <numFmt numFmtId="171" formatCode="General&quot; cbm&quot;"/>
  </numFmts>
  <fonts count="13" x14ac:knownFonts="1">
    <font>
      <color theme="1"/>
      <family val="2"/>
      <scheme val="minor"/>
      <sz val="11"/>
      <name val="Calibri"/>
    </font>
    <font>
      <b/>
      <sz val="26"/>
      <name val="Times New Roman"/>
    </font>
    <font>
      <b/>
      <sz val="12"/>
      <name val="Times New Roman"/>
    </font>
    <font>
      <sz val="12"/>
      <name val="Times New Roman"/>
    </font>
    <font>
      <b/>
      <color rgb="FFFF0000"/>
      <sz val="14"/>
    </font>
    <font>
      <u/>
      <color rgb="FF0000ff"/>
      <sz val="12"/>
      <name val="Times New Roman"/>
    </font>
    <font>
      <color rgb="FF00b0f0"/>
      <sz val="12"/>
      <name val="Times New Roman"/>
    </font>
    <font>
      <color rgb="FF000000"/>
      <sz val="12"/>
      <name val="Times New Roman"/>
    </font>
    <font>
      <b/>
      <sz val="22"/>
      <name val="Times New Roman"/>
    </font>
    <font>
      <b/>
      <color rgb="FFFFFFFF"/>
      <sz val="12"/>
      <name val="Times New Roman"/>
    </font>
    <font>
      <sz val="11"/>
      <name val="Verdana Regular"/>
    </font>
    <font>
      <color rgb="FFFFFFFF"/>
      <sz val="10"/>
      <name val="Times New Roman"/>
    </font>
    <font>
      <color rgb="FFff0000"/>
      <sz val="1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167" fontId="10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0" fillId="0" borderId="1" xfId="0" applyNumberFormat="1" applyFont="1" applyBorder="1" applyAlignment="1">
      <alignment horizontal="center" vertical="center"/>
    </xf>
    <xf numFmtId="171" fontId="10" fillId="0" borderId="1" xfId="0" applyNumberFormat="1" applyFont="1" applyBorder="1" applyAlignment="1">
      <alignment horizontal="center" vertical="center"/>
    </xf>
    <xf numFmtId="0" fontId="11" fillId="2" borderId="0" xfId="0" applyFont="1" applyFill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absolute">
    <xdr:from>
      <xdr:col>0</xdr:col>
      <xdr:colOff>533400</xdr:colOff>
      <xdr:row>10</xdr:row>
      <xdr:rowOff>123825</xdr:rowOff>
    </xdr:from>
    <xdr:ext cx="586780" cy="381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676275</xdr:colOff>
      <xdr:row>12</xdr:row>
      <xdr:rowOff>123825</xdr:rowOff>
    </xdr:from>
    <xdr:ext cx="302443" cy="3810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466725</xdr:colOff>
      <xdr:row>13</xdr:row>
      <xdr:rowOff>161925</xdr:rowOff>
    </xdr:from>
    <xdr:ext cx="717490" cy="6191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tel:0086-0513-81067596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0"/>
  <sheetViews>
    <sheetView workbookViewId="0" zoomScale="70" view="pageBreakPreview"/>
  </sheetViews>
  <sheetFormatPr defaultRowHeight="15" outlineLevelRow="0" outlineLevelCol="0" x14ac:dyDescent="55"/>
  <cols>
    <col min="1" max="1" width="25" customWidth="1"/>
    <col min="2" max="2" width="20" customWidth="1"/>
    <col min="3" max="4" width="25" customWidth="1"/>
    <col min="5" max="5" width="15" customWidth="1"/>
    <col min="6" max="11" width="25" customWidth="1"/>
  </cols>
  <sheetData>
    <row r="1" ht="21" customHeight="1" spans="1:11" x14ac:dyDescent="0.25">
      <c r="A1" s="1" t="s">
        <v>0</v>
      </c>
      <c r="B1" s="1"/>
      <c r="C1" s="1"/>
      <c r="D1" s="1"/>
      <c r="E1" s="2" t="s">
        <v>1</v>
      </c>
      <c r="F1" s="2"/>
      <c r="G1" s="3" t="s">
        <v>2</v>
      </c>
      <c r="H1" s="3"/>
      <c r="I1" s="3"/>
      <c r="J1" s="3"/>
      <c r="K1" s="4" t="s">
        <v>3</v>
      </c>
    </row>
    <row r="2" ht="21" customHeight="1" spans="1:11" x14ac:dyDescent="0.25">
      <c r="A2" s="1"/>
      <c r="B2" s="1"/>
      <c r="C2" s="1"/>
      <c r="D2" s="1"/>
      <c r="E2" s="2" t="s">
        <v>4</v>
      </c>
      <c r="F2" s="2"/>
      <c r="G2" s="3" t="s">
        <v>5</v>
      </c>
      <c r="H2" s="3"/>
      <c r="I2" s="3"/>
      <c r="J2" s="3"/>
      <c r="K2" s="5"/>
    </row>
    <row r="3" ht="21" customHeight="1" spans="1:11" x14ac:dyDescent="0.25">
      <c r="A3" s="1"/>
      <c r="B3" s="1"/>
      <c r="C3" s="1"/>
      <c r="D3" s="1"/>
      <c r="E3" s="2" t="s">
        <v>6</v>
      </c>
      <c r="F3" s="2"/>
      <c r="G3" s="3" t="s">
        <v>7</v>
      </c>
      <c r="H3" s="3"/>
      <c r="I3" s="3"/>
      <c r="J3" s="3"/>
      <c r="K3" s="5"/>
    </row>
    <row r="4" ht="81" customHeight="1" spans="1:11" x14ac:dyDescent="0.25">
      <c r="A4" s="1"/>
      <c r="B4" s="1"/>
      <c r="C4" s="1"/>
      <c r="D4" s="1"/>
      <c r="E4" s="2" t="s">
        <v>8</v>
      </c>
      <c r="F4" s="2"/>
      <c r="G4" s="6" t="s">
        <v>9</v>
      </c>
      <c r="H4" s="6"/>
      <c r="I4" s="6"/>
      <c r="J4" s="6"/>
      <c r="K4" s="5"/>
    </row>
    <row r="5" ht="81" customHeight="1" spans="1:11" x14ac:dyDescent="0.25">
      <c r="A5" s="7" t="s">
        <v>10</v>
      </c>
      <c r="B5" s="7"/>
      <c r="C5" s="7"/>
      <c r="D5" s="7"/>
      <c r="E5" s="2" t="s">
        <v>11</v>
      </c>
      <c r="F5" s="2"/>
      <c r="G5" s="6" t="s">
        <v>12</v>
      </c>
      <c r="H5" s="6"/>
      <c r="I5" s="6"/>
      <c r="J5" s="6"/>
      <c r="K5" s="5"/>
    </row>
    <row r="6" ht="21" customHeight="1" spans="1:11" x14ac:dyDescent="0.25">
      <c r="A6" s="3" t="s">
        <v>13</v>
      </c>
      <c r="B6" s="3"/>
      <c r="C6" s="3"/>
      <c r="D6" s="3"/>
      <c r="E6" s="2" t="s">
        <v>14</v>
      </c>
      <c r="F6" s="2"/>
      <c r="G6" s="8" t="s">
        <v>15</v>
      </c>
      <c r="H6" s="8"/>
      <c r="I6" s="8"/>
      <c r="J6" s="8"/>
      <c r="K6" s="5"/>
    </row>
    <row r="7" ht="21" customHeight="1" spans="1:11" x14ac:dyDescent="0.25">
      <c r="A7" s="3"/>
      <c r="B7" s="3"/>
      <c r="C7" s="3"/>
      <c r="D7" s="3"/>
      <c r="E7" s="2" t="s">
        <v>16</v>
      </c>
      <c r="F7" s="2"/>
      <c r="G7" s="9" t="s">
        <v>17</v>
      </c>
      <c r="H7" s="9"/>
      <c r="I7" s="9"/>
      <c r="J7" s="9"/>
      <c r="K7" s="5"/>
    </row>
    <row r="8" ht="21" customHeight="1" spans="1:11" x14ac:dyDescent="0.25">
      <c r="A8" s="10" t="s">
        <v>18</v>
      </c>
      <c r="B8" s="10"/>
      <c r="C8" s="10"/>
      <c r="D8" s="10"/>
      <c r="E8" s="2" t="s">
        <v>19</v>
      </c>
      <c r="F8" s="2"/>
      <c r="G8" s="9" t="s">
        <v>20</v>
      </c>
      <c r="H8" s="9"/>
      <c r="I8" s="9"/>
      <c r="J8" s="9"/>
      <c r="K8" s="5"/>
    </row>
    <row r="9" ht="21" customHeight="1" spans="1:11" x14ac:dyDescent="0.25">
      <c r="A9" s="10"/>
      <c r="B9" s="10"/>
      <c r="C9" s="10"/>
      <c r="D9" s="10"/>
      <c r="E9" s="2" t="s">
        <v>21</v>
      </c>
      <c r="F9" s="2"/>
      <c r="G9" s="9" t="s">
        <v>22</v>
      </c>
      <c r="H9" s="9"/>
      <c r="I9" s="9"/>
      <c r="J9" s="9"/>
      <c r="K9" s="5"/>
    </row>
    <row r="10" ht="45" customHeight="1" spans="1:11" x14ac:dyDescent="0.25">
      <c r="A10" s="11" t="s">
        <v>23</v>
      </c>
      <c r="B10" s="11" t="s">
        <v>24</v>
      </c>
      <c r="C10" s="11" t="s">
        <v>25</v>
      </c>
      <c r="D10" s="11" t="s">
        <v>26</v>
      </c>
      <c r="E10" s="11" t="s">
        <v>27</v>
      </c>
      <c r="F10" s="11" t="s">
        <v>28</v>
      </c>
      <c r="G10" s="11" t="s">
        <v>29</v>
      </c>
      <c r="H10" s="11" t="s">
        <v>30</v>
      </c>
      <c r="I10" s="11" t="s">
        <v>31</v>
      </c>
      <c r="J10" s="11" t="s">
        <v>32</v>
      </c>
      <c r="K10" s="11" t="s">
        <v>33</v>
      </c>
    </row>
    <row r="11" ht="25" customHeight="1" spans="1:11" s="12" customFormat="1" x14ac:dyDescent="0.25">
      <c r="A11" s="13"/>
      <c r="B11" s="13" t="s">
        <v>34</v>
      </c>
      <c r="C11" s="13" t="s">
        <v>35</v>
      </c>
      <c r="D11" s="13" t="s">
        <v>36</v>
      </c>
      <c r="E11" s="14">
        <v>1</v>
      </c>
      <c r="F11" s="15"/>
      <c r="G11" s="16">
        <f>E11*F11</f>
      </c>
      <c r="H11" s="17">
        <f>E11*1.50</f>
      </c>
      <c r="I11" s="13"/>
      <c r="J11" s="13"/>
      <c r="K11" s="18">
        <v>80</v>
      </c>
    </row>
    <row r="12" ht="25" customHeight="1" spans="1:11" s="12" customFormat="1" x14ac:dyDescent="0.25">
      <c r="A12" s="13"/>
      <c r="B12" s="13"/>
      <c r="C12" s="13"/>
      <c r="D12" s="13" t="s">
        <v>37</v>
      </c>
      <c r="E12" s="14">
        <v>6</v>
      </c>
      <c r="F12" s="15"/>
      <c r="G12" s="16">
        <f>E12*F12</f>
      </c>
      <c r="H12" s="17">
        <f>E12*3.50</f>
      </c>
      <c r="I12" s="13"/>
      <c r="J12" s="13"/>
      <c r="K12" s="18">
        <v>160</v>
      </c>
    </row>
    <row r="13" ht="50" customHeight="1" spans="1:11" s="12" customFormat="1" x14ac:dyDescent="0.25">
      <c r="A13" s="13"/>
      <c r="B13" s="13" t="s">
        <v>38</v>
      </c>
      <c r="C13" s="13" t="s">
        <v>39</v>
      </c>
      <c r="D13" s="13" t="s">
        <v>40</v>
      </c>
      <c r="E13" s="14">
        <v>2</v>
      </c>
      <c r="F13" s="15"/>
      <c r="G13" s="16">
        <f>E13*F13</f>
      </c>
      <c r="H13" s="17">
        <f>E13*1.00</f>
      </c>
      <c r="I13" s="13"/>
      <c r="J13" s="13"/>
      <c r="K13" s="18">
        <v>73</v>
      </c>
    </row>
    <row r="14" ht="25" customHeight="1" spans="1:11" s="12" customFormat="1" x14ac:dyDescent="0.25">
      <c r="A14" s="13"/>
      <c r="B14" s="13" t="s">
        <v>41</v>
      </c>
      <c r="C14" s="13" t="s">
        <v>42</v>
      </c>
      <c r="D14" s="17">
        <v>10</v>
      </c>
      <c r="E14" s="14">
        <v>8</v>
      </c>
      <c r="F14" s="19"/>
      <c r="G14" s="16">
        <f>D14*E14*F14</f>
      </c>
      <c r="H14" s="17">
        <f>E14*10.00</f>
      </c>
      <c r="I14" s="13"/>
      <c r="J14" s="13"/>
      <c r="K14" s="20">
        <v>2.5</v>
      </c>
    </row>
    <row r="15" ht="25" customHeight="1" spans="1:11" s="12" customFormat="1" x14ac:dyDescent="0.25">
      <c r="A15" s="13"/>
      <c r="B15" s="13"/>
      <c r="C15" s="13"/>
      <c r="D15" s="17">
        <v>2.5</v>
      </c>
      <c r="E15" s="14">
        <v>20</v>
      </c>
      <c r="F15" s="19"/>
      <c r="G15" s="16">
        <f>D15*E15*F15</f>
      </c>
      <c r="H15" s="17">
        <f>E15*2.50</f>
      </c>
      <c r="I15" s="13"/>
      <c r="J15" s="13"/>
      <c r="K15" s="20">
        <v>2</v>
      </c>
    </row>
    <row r="16" ht="25" customHeight="1" spans="1:11" s="12" customFormat="1" x14ac:dyDescent="0.25">
      <c r="A16" s="13"/>
      <c r="B16" s="13"/>
      <c r="C16" s="13"/>
      <c r="D16" s="17">
        <v>5</v>
      </c>
      <c r="E16" s="14">
        <v>10</v>
      </c>
      <c r="F16" s="19"/>
      <c r="G16" s="16">
        <f>D16*E16*F16</f>
      </c>
      <c r="H16" s="17">
        <f>E16*5.00</f>
      </c>
      <c r="I16" s="13"/>
      <c r="J16" s="13"/>
      <c r="K16" s="20">
        <v>2</v>
      </c>
    </row>
    <row r="17" ht="25" customHeight="1" spans="1:11" s="12" customFormat="1" x14ac:dyDescent="0.25">
      <c r="A17" s="13" t="s">
        <v>43</v>
      </c>
      <c r="B17" s="13"/>
      <c r="C17" s="13"/>
      <c r="D17" s="13"/>
      <c r="E17" s="13"/>
      <c r="F17" s="13"/>
      <c r="G17" s="16">
        <v>550</v>
      </c>
      <c r="H17" s="13"/>
      <c r="I17" s="13"/>
      <c r="J17" s="13"/>
      <c r="K17" s="13"/>
    </row>
    <row r="18" ht="25" customHeight="1" spans="1:11" s="12" customFormat="1" x14ac:dyDescent="0.25">
      <c r="A18" s="13" t="s">
        <v>44</v>
      </c>
      <c r="B18" s="13"/>
      <c r="C18" s="13"/>
      <c r="D18" s="13"/>
      <c r="E18" s="13"/>
      <c r="F18" s="13"/>
      <c r="G18" s="16">
        <f>SUM(G11:G17)</f>
      </c>
      <c r="H18" s="17">
        <f>SUM(H11:H17)</f>
      </c>
      <c r="I18" s="21">
        <f>SUM(I11:I17)</f>
      </c>
      <c r="J18" s="13"/>
      <c r="K18" s="13"/>
    </row>
    <row r="19" ht="25" customHeight="1" spans="1:11" s="12" customFormat="1" x14ac:dyDescent="0.25">
      <c r="A19" s="13" t="s">
        <v>45</v>
      </c>
      <c r="B19" s="13"/>
      <c r="C19" s="13"/>
      <c r="D19" s="13"/>
      <c r="E19" s="13"/>
      <c r="F19" s="13"/>
      <c r="G19" s="16">
        <f>G18*0.3</f>
      </c>
      <c r="H19" s="13"/>
      <c r="I19" s="13"/>
      <c r="J19" s="13"/>
      <c r="K19" s="13"/>
    </row>
    <row r="20" ht="25" customHeight="1" spans="1:11" s="12" customFormat="1" x14ac:dyDescent="0.25">
      <c r="A20" s="13" t="s">
        <v>46</v>
      </c>
      <c r="B20" s="13"/>
      <c r="C20" s="13"/>
      <c r="D20" s="13"/>
      <c r="E20" s="13"/>
      <c r="F20" s="13"/>
      <c r="G20" s="16">
        <f>G18*0.7</f>
      </c>
      <c r="H20" s="13"/>
      <c r="I20" s="13"/>
      <c r="J20" s="13"/>
      <c r="K20" s="13"/>
    </row>
    <row r="21" ht="20" customHeight="1" spans="1:11" s="22" customFormat="1" x14ac:dyDescent="0.25">
      <c r="A21" s="23" t="s">
        <v>47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ht="20" customHeight="1" spans="1:11" s="24" customFormat="1" x14ac:dyDescent="0.25">
      <c r="A22" s="25" t="s">
        <v>48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</row>
    <row r="23" ht="20" customHeight="1" spans="1:11" s="24" customFormat="1" x14ac:dyDescent="0.25">
      <c r="A23" s="25" t="s">
        <v>49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</row>
    <row r="24" ht="20" customHeight="1" spans="1:11" s="24" customFormat="1" x14ac:dyDescent="0.25">
      <c r="A24" s="25" t="s">
        <v>50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ht="20" customHeight="1" spans="1:11" s="24" customFormat="1" x14ac:dyDescent="0.25">
      <c r="A25" s="25" t="s">
        <v>51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</row>
    <row r="26" ht="20" customHeight="1" spans="1:11" s="24" customFormat="1" x14ac:dyDescent="0.25">
      <c r="A26" s="25" t="s">
        <v>52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ht="20" customHeight="1" spans="1:11" s="24" customFormat="1" x14ac:dyDescent="0.25">
      <c r="A27" s="25" t="s">
        <v>53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</row>
    <row r="28" ht="20" customHeight="1" spans="1:11" x14ac:dyDescent="0.25">
      <c r="A28" s="5" t="s">
        <v>54</v>
      </c>
      <c r="B28" s="5"/>
      <c r="C28" s="5"/>
      <c r="D28" s="5"/>
      <c r="E28" s="5"/>
      <c r="F28" s="5" t="s">
        <v>55</v>
      </c>
      <c r="G28" s="5"/>
      <c r="H28" s="5"/>
      <c r="I28" s="5"/>
      <c r="J28" s="5"/>
      <c r="K28" s="5"/>
    </row>
    <row r="29" ht="20" customHeight="1" spans="1:11" x14ac:dyDescent="0.25">
      <c r="A29" s="5" t="s">
        <v>56</v>
      </c>
      <c r="B29" s="5"/>
      <c r="C29" s="5"/>
      <c r="D29" s="5"/>
      <c r="E29" s="5"/>
      <c r="F29" s="5" t="s">
        <v>56</v>
      </c>
      <c r="G29" s="5"/>
      <c r="H29" s="5"/>
      <c r="I29" s="5"/>
      <c r="J29" s="5"/>
      <c r="K29" s="5"/>
    </row>
    <row r="30" ht="20" customHeight="1" spans="1:11" x14ac:dyDescent="0.25">
      <c r="A30" s="5" t="s">
        <v>57</v>
      </c>
      <c r="B30" s="5"/>
      <c r="C30" s="5"/>
      <c r="D30" s="5"/>
      <c r="E30" s="5"/>
      <c r="F30" s="5" t="s">
        <v>57</v>
      </c>
      <c r="G30" s="5"/>
      <c r="H30" s="5"/>
      <c r="I30" s="5"/>
      <c r="J30" s="5"/>
      <c r="K30" s="5"/>
    </row>
  </sheetData>
  <mergeCells count="49">
    <mergeCell ref="A1:D4"/>
    <mergeCell ref="E1:F1"/>
    <mergeCell ref="G1:J1"/>
    <mergeCell ref="E2:F2"/>
    <mergeCell ref="G2:J2"/>
    <mergeCell ref="E3:F3"/>
    <mergeCell ref="G3:J3"/>
    <mergeCell ref="E4:F4"/>
    <mergeCell ref="G4:J4"/>
    <mergeCell ref="A5:D5"/>
    <mergeCell ref="E5:F5"/>
    <mergeCell ref="G5:J5"/>
    <mergeCell ref="A6:D7"/>
    <mergeCell ref="E6:F6"/>
    <mergeCell ref="G6:J6"/>
    <mergeCell ref="E7:F7"/>
    <mergeCell ref="G7:J7"/>
    <mergeCell ref="A8:D9"/>
    <mergeCell ref="E8:F8"/>
    <mergeCell ref="G8:J8"/>
    <mergeCell ref="E9:F9"/>
    <mergeCell ref="G9:J9"/>
    <mergeCell ref="A11:A12"/>
    <mergeCell ref="B11:B12"/>
    <mergeCell ref="C11:C12"/>
    <mergeCell ref="I11:I12"/>
    <mergeCell ref="J11:J12"/>
    <mergeCell ref="A14:A16"/>
    <mergeCell ref="B14:B16"/>
    <mergeCell ref="C14:C16"/>
    <mergeCell ref="I14:I16"/>
    <mergeCell ref="J14:J16"/>
    <mergeCell ref="A17:F17"/>
    <mergeCell ref="A18:F18"/>
    <mergeCell ref="A19:F19"/>
    <mergeCell ref="A20:F20"/>
    <mergeCell ref="A21:K21"/>
    <mergeCell ref="A22:K22"/>
    <mergeCell ref="A23:K23"/>
    <mergeCell ref="A24:K24"/>
    <mergeCell ref="A25:K25"/>
    <mergeCell ref="A26:K26"/>
    <mergeCell ref="A27:K27"/>
    <mergeCell ref="A28:C28"/>
    <mergeCell ref="D28:E28"/>
    <mergeCell ref="A29:B29"/>
    <mergeCell ref="D29:E29"/>
    <mergeCell ref="A30:B30"/>
    <mergeCell ref="F30:H30"/>
  </mergeCells>
  <hyperlinks>
    <hyperlink ref="A5" r:id="rId1"/>
  </hyperlinks>
  <pageSetup orientation="portrait" scale="70" fitToWidth="1" fitToHeight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2025-11-19T07:02:06Z</dcterms:created>
  <dcterms:modified xsi:type="dcterms:W3CDTF">2025-11-19T07:02:06Z</dcterms:modified>
</cp:coreProperties>
</file>