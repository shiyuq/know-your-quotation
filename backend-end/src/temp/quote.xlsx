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uotation" state="visible" r:id="rId4"/>
  </sheets>
  <calcPr calcId="171027"/>
</workbook>
</file>

<file path=xl/sharedStrings.xml><?xml version="1.0" encoding="utf-8"?>
<sst xmlns="http://schemas.openxmlformats.org/spreadsheetml/2006/main" count="50" uniqueCount="49">
  <si>
    <t>Nantong OK Sporting Co.,ltd</t>
  </si>
  <si>
    <t>INVOICE NO:</t>
  </si>
  <si>
    <t>2WAW9IYQSS8W</t>
  </si>
  <si>
    <t>此列使用后需删除</t>
  </si>
  <si>
    <t>REVISION:</t>
  </si>
  <si>
    <t>0</t>
  </si>
  <si>
    <t>INVOICE DATE:</t>
  </si>
  <si>
    <t>2025/11/18</t>
  </si>
  <si>
    <t xml:space="preserve">Tel: 0086-0513-81067596
FAX: 0086-0513-81067595
Add: 1114, A3 Office Building, Wanda Plaza, No. 8 Shennan Road, Gangzha District, Nantong City</t>
  </si>
  <si>
    <t>TO:</t>
  </si>
  <si>
    <t xml:space="preserve">Company: Gadolex SA
Ad.: Isidoro de María 1727
RUT: 215340610019
Country : Uruguay
City : Montevideo
zip code :11800
Tel: (598)29243689
Alejandro Birnbaun Móvil:(598)99638757</t>
  </si>
  <si>
    <t>ATTN:</t>
  </si>
  <si>
    <t>QUOTE SHEET</t>
  </si>
  <si>
    <t>TRADE TERM:</t>
  </si>
  <si>
    <t>FOB Nantong ( Full container )</t>
  </si>
  <si>
    <t>PAYMENT TERM:</t>
  </si>
  <si>
    <t>30%+70%T/T</t>
  </si>
  <si>
    <t>LOAD PORT:</t>
  </si>
  <si>
    <t>Nantong, China</t>
  </si>
  <si>
    <t>DESTINATION:</t>
  </si>
  <si>
    <t>Montevideo Uruguay</t>
  </si>
  <si>
    <t>PICTURE</t>
  </si>
  <si>
    <t>PRODUCT</t>
  </si>
  <si>
    <t>SKU</t>
  </si>
  <si>
    <t>SPECIFICATION</t>
  </si>
  <si>
    <t>Size</t>
  </si>
  <si>
    <t>QTY</t>
  </si>
  <si>
    <t>UNIT PRICE</t>
  </si>
  <si>
    <t>TOTAL PRICE(USD)</t>
  </si>
  <si>
    <t>TOTAL N.W.(KGS)</t>
  </si>
  <si>
    <t>MEAS.(CBM)</t>
  </si>
  <si>
    <t>成本(核算)</t>
  </si>
  <si>
    <t>OK1224</t>
  </si>
  <si>
    <t>RBK1224-160-O</t>
  </si>
  <si>
    <t xml:space="preserve">1050D 
Nylon cloth, 
No. 10 YKK zipper PP cotton + rubber particles</t>
  </si>
  <si>
    <t>160*30cm</t>
  </si>
  <si>
    <t>RBK1224-300-O</t>
  </si>
  <si>
    <t>300*30cm</t>
  </si>
  <si>
    <t>OK9100B</t>
  </si>
  <si>
    <t>RBK9100B</t>
  </si>
  <si>
    <t>Power Sled</t>
  </si>
  <si>
    <t>Main tube :50*70*2mm</t>
  </si>
  <si>
    <t>OK1013</t>
  </si>
  <si>
    <t>ACT1013-10</t>
  </si>
  <si>
    <t>Rubber Hex Dumbbell 10</t>
  </si>
  <si>
    <t>ACT1013-2.5</t>
  </si>
  <si>
    <t>Rubber Hex Dumbbell 2.5</t>
  </si>
  <si>
    <t>ACT1013-5</t>
  </si>
  <si>
    <t>Rubber Hex Dumbbell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</si>
</sst>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 &quot;pc&quot;"/>
    <numFmt numFmtId="165" formatCode="$0.00 &quot;/pc&quot;"/>
    <numFmt numFmtId="166" formatCode="General&quot; kg&quot;"/>
    <numFmt numFmtId="167" formatCode="0.00&quot; cbm&quot;"/>
    <numFmt numFmtId="168" formatCode="0.00 &quot;/pc&quot;"/>
    <numFmt numFmtId="169" formatCode="$0.00 &quot;/kg&quot;"/>
    <numFmt numFmtId="170" formatCode="0.00 &quot;/kg&quot;"/>
  </numFmts>
  <fonts count="11" x14ac:knownFonts="1">
    <font>
      <color theme="1"/>
      <family val="2"/>
      <scheme val="minor"/>
      <sz val="11"/>
      <name val="Calibri"/>
    </font>
    <font>
      <b/>
      <sz val="24"/>
      <name val="Tahoma Regular"/>
    </font>
    <font>
      <b/>
      <sz val="14"/>
      <name val="Tahoma Regular"/>
    </font>
    <font>
      <sz val="14"/>
      <name val="Tahoma Regular"/>
    </font>
    <font>
      <b/>
      <color rgb="FFFF0000"/>
      <sz val="14"/>
    </font>
    <font>
      <b/>
      <color rgb="FFFF0000"/>
      <sz val="14"/>
      <name val="Tahoma Regular"/>
    </font>
    <font>
      <color rgb="FFFF0000"/>
      <sz val="14"/>
      <name val="Tahoma Regular"/>
    </font>
    <font>
      <b/>
      <color rgb="FF000000"/>
      <sz val="14"/>
      <name val="Tahoma Regular"/>
    </font>
    <font>
      <color rgb="FF000000"/>
      <sz val="14"/>
      <name val="Tahoma Regular"/>
    </font>
    <font>
      <b/>
      <color rgb="FFFFFFFF"/>
      <sz val="14"/>
      <name val="Tahoma Regular"/>
    </font>
    <font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absolute">
    <xdr:from>
      <xdr:col>0</xdr:col>
      <xdr:colOff>419100</xdr:colOff>
      <xdr:row>10</xdr:row>
      <xdr:rowOff>66675</xdr:rowOff>
    </xdr:from>
    <xdr:ext cx="821493" cy="533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619125</xdr:colOff>
      <xdr:row>12</xdr:row>
      <xdr:rowOff>66675</xdr:rowOff>
    </xdr:from>
    <xdr:ext cx="423420" cy="5334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333375</xdr:colOff>
      <xdr:row>13</xdr:row>
      <xdr:rowOff>95250</xdr:rowOff>
    </xdr:from>
    <xdr:ext cx="982410" cy="8477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FormatPr defaultRowHeight="15" outlineLevelRow="0" outlineLevelCol="0" x14ac:dyDescent="55"/>
  <cols>
    <col min="1" max="1" width="25" customWidth="1"/>
    <col min="2" max="3" width="20" customWidth="1"/>
    <col min="4" max="5" width="25" customWidth="1"/>
    <col min="6" max="6" width="15" customWidth="1"/>
    <col min="7" max="11" width="25" customWidth="1"/>
  </cols>
  <sheetData>
    <row r="1" ht="25" customHeight="1" spans="1:11" x14ac:dyDescent="0.25">
      <c r="A1" s="1" t="s">
        <v>0</v>
      </c>
      <c r="B1" s="1"/>
      <c r="C1" s="1"/>
      <c r="D1" s="1"/>
      <c r="E1" s="2" t="s">
        <v>1</v>
      </c>
      <c r="F1" s="2"/>
      <c r="G1" s="3" t="s">
        <v>2</v>
      </c>
      <c r="H1" s="3"/>
      <c r="I1" s="3"/>
      <c r="J1" s="3"/>
      <c r="K1" s="4" t="s">
        <v>3</v>
      </c>
    </row>
    <row r="2" ht="25" customHeight="1" spans="1:10" x14ac:dyDescent="0.25">
      <c r="A2" s="1"/>
      <c r="B2" s="1"/>
      <c r="C2" s="1"/>
      <c r="D2" s="1"/>
      <c r="E2" s="2" t="s">
        <v>4</v>
      </c>
      <c r="F2" s="2"/>
      <c r="G2" s="3" t="s">
        <v>5</v>
      </c>
      <c r="H2" s="3"/>
      <c r="I2" s="3"/>
      <c r="J2" s="3"/>
    </row>
    <row r="3" ht="25" customHeight="1" spans="1:10" x14ac:dyDescent="0.25">
      <c r="A3" s="1"/>
      <c r="B3" s="1"/>
      <c r="C3" s="1"/>
      <c r="D3" s="1"/>
      <c r="E3" s="2" t="s">
        <v>6</v>
      </c>
      <c r="F3" s="2"/>
      <c r="G3" s="3" t="s">
        <v>7</v>
      </c>
      <c r="H3" s="3"/>
      <c r="I3" s="3"/>
      <c r="J3" s="3"/>
    </row>
    <row r="4" ht="90" customHeight="1" spans="1:10" x14ac:dyDescent="0.25">
      <c r="A4" s="5" t="s">
        <v>8</v>
      </c>
      <c r="B4" s="5"/>
      <c r="C4" s="5"/>
      <c r="D4" s="5"/>
      <c r="E4" s="2" t="s">
        <v>9</v>
      </c>
      <c r="F4" s="2"/>
      <c r="G4" s="5" t="s">
        <v>10</v>
      </c>
      <c r="H4" s="5"/>
      <c r="I4" s="5"/>
      <c r="J4" s="5"/>
    </row>
    <row r="5" ht="90" customHeight="1" spans="1:10" x14ac:dyDescent="0.25">
      <c r="A5" s="5"/>
      <c r="B5" s="5"/>
      <c r="C5" s="5"/>
      <c r="D5" s="5"/>
      <c r="E5" s="2" t="s">
        <v>11</v>
      </c>
      <c r="F5" s="2"/>
      <c r="G5" s="5"/>
      <c r="H5" s="5"/>
      <c r="I5" s="5"/>
      <c r="J5" s="5"/>
    </row>
    <row r="6" ht="25" customHeight="1" spans="1:10" x14ac:dyDescent="0.25">
      <c r="A6" s="1" t="s">
        <v>12</v>
      </c>
      <c r="B6" s="1"/>
      <c r="C6" s="1"/>
      <c r="D6" s="1"/>
      <c r="E6" s="6" t="s">
        <v>13</v>
      </c>
      <c r="F6" s="6"/>
      <c r="G6" s="7" t="s">
        <v>14</v>
      </c>
      <c r="H6" s="7"/>
      <c r="I6" s="7"/>
      <c r="J6" s="7"/>
    </row>
    <row r="7" ht="25" customHeight="1" spans="1:10" x14ac:dyDescent="0.25">
      <c r="A7" s="1"/>
      <c r="B7" s="1"/>
      <c r="C7" s="1"/>
      <c r="D7" s="1"/>
      <c r="E7" s="8" t="s">
        <v>15</v>
      </c>
      <c r="F7" s="8"/>
      <c r="G7" s="9" t="s">
        <v>16</v>
      </c>
      <c r="H7" s="9"/>
      <c r="I7" s="9"/>
      <c r="J7" s="9"/>
    </row>
    <row r="8" ht="25" customHeight="1" spans="1:10" x14ac:dyDescent="0.25">
      <c r="A8" s="1"/>
      <c r="B8" s="1"/>
      <c r="C8" s="1"/>
      <c r="D8" s="1"/>
      <c r="E8" s="8" t="s">
        <v>17</v>
      </c>
      <c r="F8" s="8"/>
      <c r="G8" s="9" t="s">
        <v>18</v>
      </c>
      <c r="H8" s="9"/>
      <c r="I8" s="9"/>
      <c r="J8" s="9"/>
    </row>
    <row r="9" ht="25" customHeight="1" spans="1:10" x14ac:dyDescent="0.25">
      <c r="A9" s="1"/>
      <c r="B9" s="1"/>
      <c r="C9" s="1"/>
      <c r="D9" s="1"/>
      <c r="E9" s="8" t="s">
        <v>19</v>
      </c>
      <c r="F9" s="8"/>
      <c r="G9" s="9" t="s">
        <v>20</v>
      </c>
      <c r="H9" s="9"/>
      <c r="I9" s="9"/>
      <c r="J9" s="9"/>
    </row>
    <row r="10" ht="45" customHeight="1" spans="1:11" x14ac:dyDescent="0.25">
      <c r="A10" s="10" t="s">
        <v>21</v>
      </c>
      <c r="B10" s="10" t="s">
        <v>22</v>
      </c>
      <c r="C10" s="10" t="s">
        <v>23</v>
      </c>
      <c r="D10" s="10" t="s">
        <v>24</v>
      </c>
      <c r="E10" s="10" t="s">
        <v>25</v>
      </c>
      <c r="F10" s="10" t="s">
        <v>26</v>
      </c>
      <c r="G10" s="10" t="s">
        <v>27</v>
      </c>
      <c r="H10" s="10" t="s">
        <v>28</v>
      </c>
      <c r="I10" s="10" t="s">
        <v>29</v>
      </c>
      <c r="J10" s="10" t="s">
        <v>30</v>
      </c>
      <c r="K10" s="10" t="s">
        <v>31</v>
      </c>
    </row>
    <row r="11" ht="33" customHeight="1" spans="1:11" s="11" customFormat="1" x14ac:dyDescent="0.25">
      <c r="A11" s="11"/>
      <c r="B11" s="11" t="s">
        <v>32</v>
      </c>
      <c r="C11" s="11" t="s">
        <v>33</v>
      </c>
      <c r="D11" s="11" t="s">
        <v>34</v>
      </c>
      <c r="E11" s="11" t="s">
        <v>35</v>
      </c>
      <c r="F11" s="12">
        <v>1</v>
      </c>
      <c r="G11" s="13"/>
      <c r="H11" s="11">
        <f>F11*G11</f>
      </c>
      <c r="I11" s="14">
        <f>F11*1.50</f>
      </c>
      <c r="J11" s="15">
        <f>F11*0.004000000000000001</f>
      </c>
      <c r="K11" s="16">
        <v>80</v>
      </c>
    </row>
    <row r="12" ht="33" customHeight="1" spans="1:11" s="11" customFormat="1" x14ac:dyDescent="0.25">
      <c r="A12" s="11"/>
      <c r="B12" s="11"/>
      <c r="C12" s="11" t="s">
        <v>36</v>
      </c>
      <c r="D12" s="11" t="s">
        <v>34</v>
      </c>
      <c r="E12" s="11" t="s">
        <v>37</v>
      </c>
      <c r="F12" s="12">
        <v>6</v>
      </c>
      <c r="G12" s="13"/>
      <c r="H12" s="11">
        <f>F12*G12</f>
      </c>
      <c r="I12" s="14">
        <f>F12*3.50</f>
      </c>
      <c r="J12" s="15">
        <f>F12*0.0075000000000000015</f>
      </c>
      <c r="K12" s="16">
        <v>160</v>
      </c>
    </row>
    <row r="13" ht="66" customHeight="1" spans="2:11" s="11" customFormat="1" x14ac:dyDescent="0.25">
      <c r="B13" s="11" t="s">
        <v>38</v>
      </c>
      <c r="C13" s="11" t="s">
        <v>39</v>
      </c>
      <c r="D13" s="11" t="s">
        <v>40</v>
      </c>
      <c r="E13" s="11" t="s">
        <v>41</v>
      </c>
      <c r="F13" s="12">
        <v>2</v>
      </c>
      <c r="G13" s="13"/>
      <c r="H13" s="11">
        <f>F13*G13</f>
      </c>
      <c r="I13" s="14">
        <f>F13*1.00</f>
      </c>
      <c r="J13" s="15">
        <f>F13*0.0002</f>
      </c>
      <c r="K13" s="16">
        <v>73</v>
      </c>
    </row>
    <row r="14" ht="33" customHeight="1" spans="1:11" s="11" customFormat="1" x14ac:dyDescent="0.25">
      <c r="A14" s="11"/>
      <c r="B14" s="11" t="s">
        <v>42</v>
      </c>
      <c r="C14" s="11" t="s">
        <v>43</v>
      </c>
      <c r="D14" s="11" t="s">
        <v>44</v>
      </c>
      <c r="E14" s="14">
        <v>10</v>
      </c>
      <c r="F14" s="12">
        <v>8</v>
      </c>
      <c r="G14" s="17"/>
      <c r="H14" s="11">
        <f>E14*F14*G14</f>
      </c>
      <c r="I14" s="14">
        <f>F14*10.00</f>
      </c>
      <c r="J14" s="15">
        <f>F14*0.000375</f>
      </c>
      <c r="K14" s="18">
        <v>2.5</v>
      </c>
    </row>
    <row r="15" ht="33" customHeight="1" spans="1:11" s="11" customFormat="1" x14ac:dyDescent="0.25">
      <c r="A15" s="11"/>
      <c r="B15" s="11"/>
      <c r="C15" s="11" t="s">
        <v>45</v>
      </c>
      <c r="D15" s="11" t="s">
        <v>46</v>
      </c>
      <c r="E15" s="14">
        <v>2.5</v>
      </c>
      <c r="F15" s="12">
        <v>20</v>
      </c>
      <c r="G15" s="17"/>
      <c r="H15" s="11">
        <f>E15*F15*G15</f>
      </c>
      <c r="I15" s="14">
        <f>F15*2.50</f>
      </c>
      <c r="J15" s="15">
        <f>F15*0.000375</f>
      </c>
      <c r="K15" s="18">
        <v>2</v>
      </c>
    </row>
    <row r="16" ht="33" customHeight="1" spans="1:11" s="11" customFormat="1" x14ac:dyDescent="0.25">
      <c r="A16" s="11"/>
      <c r="B16" s="11"/>
      <c r="C16" s="11" t="s">
        <v>47</v>
      </c>
      <c r="D16" s="11" t="s">
        <v>48</v>
      </c>
      <c r="E16" s="14">
        <v>5</v>
      </c>
      <c r="F16" s="12">
        <v>10</v>
      </c>
      <c r="G16" s="17"/>
      <c r="H16" s="11">
        <f>E16*F16*G16</f>
      </c>
      <c r="I16" s="14">
        <f>F16*5.00</f>
      </c>
      <c r="J16" s="15">
        <f>F16*0.000375</f>
      </c>
      <c r="K16" s="18">
        <v>2</v>
      </c>
    </row>
  </sheetData>
  <mergeCells count="24">
    <mergeCell ref="A1:D3"/>
    <mergeCell ref="E1:F1"/>
    <mergeCell ref="G1:J1"/>
    <mergeCell ref="E2:F2"/>
    <mergeCell ref="G2:J2"/>
    <mergeCell ref="E3:F3"/>
    <mergeCell ref="G3:J3"/>
    <mergeCell ref="A4:D5"/>
    <mergeCell ref="E4:F4"/>
    <mergeCell ref="G4:J5"/>
    <mergeCell ref="E5:F5"/>
    <mergeCell ref="A6:D9"/>
    <mergeCell ref="E6:F6"/>
    <mergeCell ref="G6:J6"/>
    <mergeCell ref="E7:F7"/>
    <mergeCell ref="G7:J7"/>
    <mergeCell ref="E8:F8"/>
    <mergeCell ref="G8:J8"/>
    <mergeCell ref="E9:F9"/>
    <mergeCell ref="G9:J9"/>
    <mergeCell ref="A11:A12"/>
    <mergeCell ref="B11:B12"/>
    <mergeCell ref="A14:A16"/>
    <mergeCell ref="B14:B16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2025-11-18T07:37:13Z</dcterms:created>
  <dcterms:modified xsi:type="dcterms:W3CDTF">2025-11-18T07:37:13Z</dcterms:modified>
</cp:coreProperties>
</file>